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5.xml" ContentType="application/vnd.openxmlformats-officedocument.drawingml.chartshapes+xml"/>
  <Override PartName="/xl/charts/chart16.xml" ContentType="application/vnd.openxmlformats-officedocument.drawingml.chart+xml"/>
  <Override PartName="/xl/drawings/drawing16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martestenergy-my.sharepoint.com/personal/franklin-allen_smartestenergy_com/Documents/Documents/"/>
    </mc:Choice>
  </mc:AlternateContent>
  <xr:revisionPtr revIDLastSave="82" documentId="8_{DFBC65D0-0005-43E1-842D-03B313851AD4}" xr6:coauthVersionLast="47" xr6:coauthVersionMax="47" xr10:uidLastSave="{EF2166D2-BAE6-4015-8762-C1485DE9F0BF}"/>
  <bookViews>
    <workbookView xWindow="-120" yWindow="-120" windowWidth="29040" windowHeight="15720" activeTab="2" xr2:uid="{BFF0E706-B942-43EC-89F1-4DA6B0AC4A90}"/>
  </bookViews>
  <sheets>
    <sheet name="pfe peak jan start" sheetId="1" r:id="rId1"/>
    <sheet name="pfe peak march start" sheetId="4" r:id="rId2"/>
    <sheet name="pfe peak march start 2027-12" sheetId="5" r:id="rId3"/>
    <sheet name="pfe (2)" sheetId="3" r:id="rId4"/>
    <sheet name="data" sheetId="2" r:id="rId5"/>
  </sheets>
  <externalReferences>
    <externalReference r:id="rId6"/>
  </externalReferences>
  <definedNames>
    <definedName name="_vol1">'[1]3 assets'!$B$2</definedName>
    <definedName name="_vol2">'[1]3 assets'!$B$3</definedName>
    <definedName name="_vol3">'[1]3 assets'!$B$4</definedName>
    <definedName name="a_11">'[1]2 assets'!$E$2</definedName>
    <definedName name="a_12">'[1]3 assets'!#REF!</definedName>
    <definedName name="a_13">'[1]3 assets'!#REF!</definedName>
    <definedName name="a_21">'[1]2 assets'!$E$3</definedName>
    <definedName name="a_22">'[1]2 assets'!$F$3</definedName>
    <definedName name="b_11">'[1]3 assets'!$H$2</definedName>
    <definedName name="b_12">'[1]3 assets'!#REF!</definedName>
    <definedName name="b_21">'[1]3 assets'!$H$3</definedName>
    <definedName name="b_22">'[1]3 assets'!$I$3</definedName>
    <definedName name="b_31">'[1]3 assets'!$H$4</definedName>
    <definedName name="b_32">'[1]3 assets'!$I$4</definedName>
    <definedName name="b_33">'[1]3 assets'!$J$4</definedName>
    <definedName name="corr_12">'[1]3 assets'!$B$5</definedName>
    <definedName name="corr_13">'[1]3 assets'!$B$6</definedName>
    <definedName name="corr_23">'[1]3 assets'!$B$7</definedName>
    <definedName name="correl">'[1]2 assets'!$B$3</definedName>
    <definedName name="vol_1">'[1]2 assets'!$B$1</definedName>
    <definedName name="vol_2">'[1]2 assets'!$B$2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5" l="1"/>
  <c r="E31" i="5"/>
  <c r="E32" i="5"/>
  <c r="E33" i="5"/>
  <c r="E34" i="5"/>
  <c r="K34" i="5" s="1"/>
  <c r="S34" i="5" s="1"/>
  <c r="V34" i="5" s="1"/>
  <c r="E35" i="5"/>
  <c r="E36" i="5"/>
  <c r="M36" i="5" s="1"/>
  <c r="N36" i="5" s="1"/>
  <c r="P36" i="5" s="1"/>
  <c r="E37" i="5"/>
  <c r="E38" i="5"/>
  <c r="E39" i="5"/>
  <c r="L39" i="5" s="1"/>
  <c r="R39" i="5" s="1"/>
  <c r="U39" i="5" s="1"/>
  <c r="E40" i="5"/>
  <c r="J40" i="5" s="1"/>
  <c r="O40" i="5" s="1"/>
  <c r="Q40" i="5" s="1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L53" i="5" s="1"/>
  <c r="R53" i="5" s="1"/>
  <c r="U53" i="5" s="1"/>
  <c r="E54" i="5"/>
  <c r="E55" i="5"/>
  <c r="E56" i="5"/>
  <c r="E57" i="5"/>
  <c r="M57" i="5" s="1"/>
  <c r="N57" i="5" s="1"/>
  <c r="P57" i="5" s="1"/>
  <c r="E58" i="5"/>
  <c r="K58" i="5" s="1"/>
  <c r="S58" i="5" s="1"/>
  <c r="V58" i="5" s="1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M71" i="5" s="1"/>
  <c r="N71" i="5" s="1"/>
  <c r="P71" i="5" s="1"/>
  <c r="E72" i="5"/>
  <c r="K72" i="5" s="1"/>
  <c r="S72" i="5" s="1"/>
  <c r="V72" i="5" s="1"/>
  <c r="E73" i="5"/>
  <c r="E74" i="5"/>
  <c r="E75" i="5"/>
  <c r="E76" i="5"/>
  <c r="E77" i="5"/>
  <c r="E78" i="5"/>
  <c r="E79" i="5"/>
  <c r="L79" i="5" s="1"/>
  <c r="R79" i="5" s="1"/>
  <c r="U79" i="5" s="1"/>
  <c r="E80" i="5"/>
  <c r="E81" i="5"/>
  <c r="E82" i="5"/>
  <c r="E83" i="5"/>
  <c r="E84" i="5"/>
  <c r="M84" i="5" s="1"/>
  <c r="N84" i="5" s="1"/>
  <c r="P84" i="5" s="1"/>
  <c r="E85" i="5"/>
  <c r="M85" i="5" s="1"/>
  <c r="N85" i="5" s="1"/>
  <c r="P85" i="5" s="1"/>
  <c r="E86" i="5"/>
  <c r="M86" i="5" s="1"/>
  <c r="N86" i="5" s="1"/>
  <c r="P86" i="5" s="1"/>
  <c r="E87" i="5"/>
  <c r="E88" i="5"/>
  <c r="E89" i="5"/>
  <c r="E30" i="5"/>
  <c r="F89" i="5"/>
  <c r="A89" i="5"/>
  <c r="F88" i="5"/>
  <c r="L88" i="5" s="1"/>
  <c r="R88" i="5" s="1"/>
  <c r="U88" i="5" s="1"/>
  <c r="A88" i="5"/>
  <c r="M87" i="5"/>
  <c r="N87" i="5" s="1"/>
  <c r="P87" i="5" s="1"/>
  <c r="L87" i="5"/>
  <c r="R87" i="5" s="1"/>
  <c r="U87" i="5" s="1"/>
  <c r="K87" i="5"/>
  <c r="S87" i="5" s="1"/>
  <c r="V87" i="5" s="1"/>
  <c r="J87" i="5"/>
  <c r="O87" i="5" s="1"/>
  <c r="Q87" i="5" s="1"/>
  <c r="F87" i="5"/>
  <c r="A87" i="5"/>
  <c r="F86" i="5"/>
  <c r="J86" i="5"/>
  <c r="O86" i="5" s="1"/>
  <c r="Q86" i="5" s="1"/>
  <c r="A86" i="5"/>
  <c r="R85" i="5"/>
  <c r="U85" i="5" s="1"/>
  <c r="L85" i="5"/>
  <c r="F85" i="5"/>
  <c r="K85" i="5" s="1"/>
  <c r="S85" i="5" s="1"/>
  <c r="V85" i="5" s="1"/>
  <c r="A85" i="5"/>
  <c r="F84" i="5"/>
  <c r="A84" i="5"/>
  <c r="F83" i="5"/>
  <c r="A83" i="5"/>
  <c r="F82" i="5"/>
  <c r="A82" i="5"/>
  <c r="K81" i="5"/>
  <c r="S81" i="5" s="1"/>
  <c r="V81" i="5" s="1"/>
  <c r="F81" i="5"/>
  <c r="A81" i="5"/>
  <c r="F80" i="5"/>
  <c r="A80" i="5"/>
  <c r="M79" i="5"/>
  <c r="N79" i="5" s="1"/>
  <c r="P79" i="5" s="1"/>
  <c r="F79" i="5"/>
  <c r="A79" i="5"/>
  <c r="J78" i="5"/>
  <c r="O78" i="5" s="1"/>
  <c r="Q78" i="5" s="1"/>
  <c r="F78" i="5"/>
  <c r="M78" i="5"/>
  <c r="N78" i="5" s="1"/>
  <c r="P78" i="5" s="1"/>
  <c r="A78" i="5"/>
  <c r="U77" i="5"/>
  <c r="M77" i="5"/>
  <c r="N77" i="5" s="1"/>
  <c r="P77" i="5" s="1"/>
  <c r="L77" i="5"/>
  <c r="R77" i="5" s="1"/>
  <c r="K77" i="5"/>
  <c r="S77" i="5" s="1"/>
  <c r="V77" i="5" s="1"/>
  <c r="J77" i="5"/>
  <c r="O77" i="5" s="1"/>
  <c r="Q77" i="5" s="1"/>
  <c r="F77" i="5"/>
  <c r="A77" i="5"/>
  <c r="F76" i="5"/>
  <c r="A76" i="5"/>
  <c r="F75" i="5"/>
  <c r="A75" i="5"/>
  <c r="Q74" i="5"/>
  <c r="M74" i="5"/>
  <c r="N74" i="5" s="1"/>
  <c r="P74" i="5" s="1"/>
  <c r="L74" i="5"/>
  <c r="R74" i="5" s="1"/>
  <c r="U74" i="5" s="1"/>
  <c r="K74" i="5"/>
  <c r="S74" i="5" s="1"/>
  <c r="V74" i="5" s="1"/>
  <c r="J74" i="5"/>
  <c r="O74" i="5" s="1"/>
  <c r="F74" i="5"/>
  <c r="A74" i="5"/>
  <c r="M73" i="5"/>
  <c r="N73" i="5" s="1"/>
  <c r="P73" i="5" s="1"/>
  <c r="L73" i="5"/>
  <c r="R73" i="5" s="1"/>
  <c r="U73" i="5" s="1"/>
  <c r="K73" i="5"/>
  <c r="S73" i="5" s="1"/>
  <c r="V73" i="5" s="1"/>
  <c r="J73" i="5"/>
  <c r="O73" i="5" s="1"/>
  <c r="Q73" i="5" s="1"/>
  <c r="F73" i="5"/>
  <c r="A73" i="5"/>
  <c r="M72" i="5"/>
  <c r="N72" i="5" s="1"/>
  <c r="P72" i="5" s="1"/>
  <c r="L72" i="5"/>
  <c r="R72" i="5" s="1"/>
  <c r="U72" i="5" s="1"/>
  <c r="F72" i="5"/>
  <c r="A72" i="5"/>
  <c r="F71" i="5"/>
  <c r="A71" i="5"/>
  <c r="F70" i="5"/>
  <c r="A70" i="5"/>
  <c r="F69" i="5"/>
  <c r="A69" i="5"/>
  <c r="F68" i="5"/>
  <c r="A68" i="5"/>
  <c r="F67" i="5"/>
  <c r="A67" i="5"/>
  <c r="F66" i="5"/>
  <c r="A66" i="5"/>
  <c r="F65" i="5"/>
  <c r="J65" i="5" s="1"/>
  <c r="O65" i="5" s="1"/>
  <c r="Q65" i="5" s="1"/>
  <c r="A65" i="5"/>
  <c r="F64" i="5"/>
  <c r="A64" i="5"/>
  <c r="M63" i="5"/>
  <c r="N63" i="5" s="1"/>
  <c r="P63" i="5" s="1"/>
  <c r="L63" i="5"/>
  <c r="R63" i="5" s="1"/>
  <c r="U63" i="5" s="1"/>
  <c r="K63" i="5"/>
  <c r="S63" i="5" s="1"/>
  <c r="V63" i="5" s="1"/>
  <c r="F63" i="5"/>
  <c r="A63" i="5"/>
  <c r="F62" i="5"/>
  <c r="A62" i="5"/>
  <c r="F61" i="5"/>
  <c r="A61" i="5"/>
  <c r="L60" i="5"/>
  <c r="R60" i="5" s="1"/>
  <c r="U60" i="5" s="1"/>
  <c r="F60" i="5"/>
  <c r="A60" i="5"/>
  <c r="M59" i="5"/>
  <c r="N59" i="5" s="1"/>
  <c r="P59" i="5" s="1"/>
  <c r="L59" i="5"/>
  <c r="R59" i="5" s="1"/>
  <c r="U59" i="5" s="1"/>
  <c r="K59" i="5"/>
  <c r="S59" i="5" s="1"/>
  <c r="V59" i="5" s="1"/>
  <c r="J59" i="5"/>
  <c r="O59" i="5" s="1"/>
  <c r="Q59" i="5" s="1"/>
  <c r="F59" i="5"/>
  <c r="A59" i="5"/>
  <c r="M58" i="5"/>
  <c r="N58" i="5" s="1"/>
  <c r="P58" i="5" s="1"/>
  <c r="L58" i="5"/>
  <c r="R58" i="5" s="1"/>
  <c r="U58" i="5" s="1"/>
  <c r="F58" i="5"/>
  <c r="A58" i="5"/>
  <c r="F57" i="5"/>
  <c r="A57" i="5"/>
  <c r="F56" i="5"/>
  <c r="A56" i="5"/>
  <c r="J55" i="5"/>
  <c r="O55" i="5" s="1"/>
  <c r="Q55" i="5" s="1"/>
  <c r="F55" i="5"/>
  <c r="A55" i="5"/>
  <c r="F54" i="5"/>
  <c r="A54" i="5"/>
  <c r="F53" i="5"/>
  <c r="A53" i="5"/>
  <c r="F52" i="5"/>
  <c r="A52" i="5"/>
  <c r="K51" i="5"/>
  <c r="S51" i="5" s="1"/>
  <c r="V51" i="5" s="1"/>
  <c r="F51" i="5"/>
  <c r="A51" i="5"/>
  <c r="F50" i="5"/>
  <c r="A50" i="5"/>
  <c r="M49" i="5"/>
  <c r="N49" i="5" s="1"/>
  <c r="P49" i="5" s="1"/>
  <c r="F49" i="5"/>
  <c r="A49" i="5"/>
  <c r="F48" i="5"/>
  <c r="A48" i="5"/>
  <c r="F47" i="5"/>
  <c r="A47" i="5"/>
  <c r="M46" i="5"/>
  <c r="N46" i="5" s="1"/>
  <c r="P46" i="5" s="1"/>
  <c r="L46" i="5"/>
  <c r="R46" i="5" s="1"/>
  <c r="U46" i="5" s="1"/>
  <c r="F46" i="5"/>
  <c r="A46" i="5"/>
  <c r="S45" i="5"/>
  <c r="V45" i="5" s="1"/>
  <c r="O45" i="5"/>
  <c r="Q45" i="5" s="1"/>
  <c r="M45" i="5"/>
  <c r="N45" i="5" s="1"/>
  <c r="P45" i="5" s="1"/>
  <c r="L45" i="5"/>
  <c r="R45" i="5" s="1"/>
  <c r="U45" i="5" s="1"/>
  <c r="K45" i="5"/>
  <c r="J45" i="5"/>
  <c r="F45" i="5"/>
  <c r="A45" i="5"/>
  <c r="M44" i="5"/>
  <c r="N44" i="5" s="1"/>
  <c r="P44" i="5" s="1"/>
  <c r="L44" i="5"/>
  <c r="R44" i="5" s="1"/>
  <c r="U44" i="5" s="1"/>
  <c r="K44" i="5"/>
  <c r="S44" i="5" s="1"/>
  <c r="V44" i="5" s="1"/>
  <c r="F44" i="5"/>
  <c r="A44" i="5"/>
  <c r="F43" i="5"/>
  <c r="L43" i="5"/>
  <c r="R43" i="5" s="1"/>
  <c r="U43" i="5" s="1"/>
  <c r="A43" i="5"/>
  <c r="F42" i="5"/>
  <c r="A42" i="5"/>
  <c r="F41" i="5"/>
  <c r="A41" i="5"/>
  <c r="F40" i="5"/>
  <c r="A40" i="5"/>
  <c r="F39" i="5"/>
  <c r="A39" i="5"/>
  <c r="F38" i="5"/>
  <c r="A38" i="5"/>
  <c r="F37" i="5"/>
  <c r="A37" i="5"/>
  <c r="L36" i="5"/>
  <c r="R36" i="5" s="1"/>
  <c r="U36" i="5" s="1"/>
  <c r="K36" i="5"/>
  <c r="S36" i="5" s="1"/>
  <c r="V36" i="5" s="1"/>
  <c r="F36" i="5"/>
  <c r="A36" i="5"/>
  <c r="M35" i="5"/>
  <c r="N35" i="5" s="1"/>
  <c r="P35" i="5" s="1"/>
  <c r="L35" i="5"/>
  <c r="R35" i="5" s="1"/>
  <c r="U35" i="5" s="1"/>
  <c r="K35" i="5"/>
  <c r="S35" i="5" s="1"/>
  <c r="V35" i="5" s="1"/>
  <c r="F35" i="5"/>
  <c r="J35" i="5" s="1"/>
  <c r="O35" i="5" s="1"/>
  <c r="Q35" i="5" s="1"/>
  <c r="A35" i="5"/>
  <c r="F34" i="5"/>
  <c r="A34" i="5"/>
  <c r="F33" i="5"/>
  <c r="A33" i="5"/>
  <c r="M32" i="5"/>
  <c r="N32" i="5" s="1"/>
  <c r="P32" i="5" s="1"/>
  <c r="L32" i="5"/>
  <c r="R32" i="5" s="1"/>
  <c r="U32" i="5" s="1"/>
  <c r="F32" i="5"/>
  <c r="K32" i="5" s="1"/>
  <c r="S32" i="5" s="1"/>
  <c r="V32" i="5" s="1"/>
  <c r="A32" i="5"/>
  <c r="S31" i="5"/>
  <c r="V31" i="5" s="1"/>
  <c r="R31" i="5"/>
  <c r="U31" i="5" s="1"/>
  <c r="M31" i="5"/>
  <c r="N31" i="5" s="1"/>
  <c r="P31" i="5" s="1"/>
  <c r="L31" i="5"/>
  <c r="K31" i="5"/>
  <c r="J31" i="5"/>
  <c r="O31" i="5" s="1"/>
  <c r="Q31" i="5" s="1"/>
  <c r="F31" i="5"/>
  <c r="A31" i="5"/>
  <c r="M30" i="5"/>
  <c r="N30" i="5" s="1"/>
  <c r="P30" i="5" s="1"/>
  <c r="L30" i="5"/>
  <c r="R30" i="5" s="1"/>
  <c r="U30" i="5" s="1"/>
  <c r="K30" i="5"/>
  <c r="S30" i="5" s="1"/>
  <c r="V30" i="5" s="1"/>
  <c r="F30" i="5"/>
  <c r="A30" i="5"/>
  <c r="F29" i="5"/>
  <c r="E29" i="5"/>
  <c r="A29" i="5"/>
  <c r="M28" i="5"/>
  <c r="N28" i="5" s="1"/>
  <c r="P28" i="5" s="1"/>
  <c r="F28" i="5"/>
  <c r="A28" i="5"/>
  <c r="F27" i="5"/>
  <c r="A27" i="5"/>
  <c r="K26" i="5"/>
  <c r="S26" i="5" s="1"/>
  <c r="V26" i="5" s="1"/>
  <c r="F26" i="5"/>
  <c r="A26" i="5"/>
  <c r="F25" i="5"/>
  <c r="J25" i="5" s="1"/>
  <c r="O25" i="5" s="1"/>
  <c r="Q25" i="5" s="1"/>
  <c r="A25" i="5"/>
  <c r="F24" i="5"/>
  <c r="A24" i="5"/>
  <c r="F23" i="5"/>
  <c r="A23" i="5"/>
  <c r="U22" i="5"/>
  <c r="M22" i="5"/>
  <c r="N22" i="5" s="1"/>
  <c r="P22" i="5" s="1"/>
  <c r="L22" i="5"/>
  <c r="R22" i="5" s="1"/>
  <c r="K22" i="5"/>
  <c r="S22" i="5" s="1"/>
  <c r="V22" i="5" s="1"/>
  <c r="F22" i="5"/>
  <c r="A22" i="5"/>
  <c r="F21" i="5"/>
  <c r="M21" i="5" s="1"/>
  <c r="N21" i="5" s="1"/>
  <c r="P21" i="5" s="1"/>
  <c r="A21" i="5"/>
  <c r="F20" i="5"/>
  <c r="A20" i="5"/>
  <c r="F19" i="5"/>
  <c r="A19" i="5"/>
  <c r="S18" i="5"/>
  <c r="V18" i="5" s="1"/>
  <c r="M18" i="5"/>
  <c r="N18" i="5" s="1"/>
  <c r="P18" i="5" s="1"/>
  <c r="L18" i="5"/>
  <c r="R18" i="5" s="1"/>
  <c r="U18" i="5" s="1"/>
  <c r="K18" i="5"/>
  <c r="J18" i="5"/>
  <c r="O18" i="5" s="1"/>
  <c r="Q18" i="5" s="1"/>
  <c r="F18" i="5"/>
  <c r="A18" i="5"/>
  <c r="O17" i="5"/>
  <c r="Q17" i="5" s="1"/>
  <c r="M17" i="5"/>
  <c r="N17" i="5" s="1"/>
  <c r="P17" i="5" s="1"/>
  <c r="L17" i="5"/>
  <c r="R17" i="5" s="1"/>
  <c r="U17" i="5" s="1"/>
  <c r="K17" i="5"/>
  <c r="S17" i="5" s="1"/>
  <c r="V17" i="5" s="1"/>
  <c r="J17" i="5"/>
  <c r="F17" i="5"/>
  <c r="A17" i="5"/>
  <c r="M16" i="5"/>
  <c r="N16" i="5" s="1"/>
  <c r="P16" i="5" s="1"/>
  <c r="L16" i="5"/>
  <c r="R16" i="5" s="1"/>
  <c r="U16" i="5" s="1"/>
  <c r="K16" i="5"/>
  <c r="S16" i="5" s="1"/>
  <c r="V16" i="5" s="1"/>
  <c r="J16" i="5"/>
  <c r="O16" i="5" s="1"/>
  <c r="Q16" i="5" s="1"/>
  <c r="F16" i="5"/>
  <c r="A16" i="5"/>
  <c r="M15" i="5"/>
  <c r="N15" i="5" s="1"/>
  <c r="P15" i="5" s="1"/>
  <c r="L15" i="5"/>
  <c r="R15" i="5" s="1"/>
  <c r="U15" i="5" s="1"/>
  <c r="F15" i="5"/>
  <c r="A15" i="5"/>
  <c r="F14" i="5"/>
  <c r="A14" i="5"/>
  <c r="F13" i="5"/>
  <c r="A13" i="5"/>
  <c r="F12" i="5"/>
  <c r="A12" i="5"/>
  <c r="L11" i="5"/>
  <c r="R11" i="5" s="1"/>
  <c r="U11" i="5" s="1"/>
  <c r="K11" i="5"/>
  <c r="S11" i="5" s="1"/>
  <c r="V11" i="5" s="1"/>
  <c r="J11" i="5"/>
  <c r="O11" i="5" s="1"/>
  <c r="Q11" i="5" s="1"/>
  <c r="F11" i="5"/>
  <c r="L8" i="5"/>
  <c r="R8" i="5" s="1"/>
  <c r="U8" i="5" s="1"/>
  <c r="A11" i="5"/>
  <c r="F10" i="5"/>
  <c r="A10" i="5"/>
  <c r="L9" i="5"/>
  <c r="R9" i="5" s="1"/>
  <c r="U9" i="5" s="1"/>
  <c r="J9" i="5"/>
  <c r="O9" i="5" s="1"/>
  <c r="Q9" i="5" s="1"/>
  <c r="F9" i="5"/>
  <c r="A9" i="5"/>
  <c r="M8" i="5"/>
  <c r="N8" i="5" s="1"/>
  <c r="P8" i="5" s="1"/>
  <c r="K8" i="5"/>
  <c r="S8" i="5" s="1"/>
  <c r="V8" i="5" s="1"/>
  <c r="J8" i="5"/>
  <c r="O8" i="5" s="1"/>
  <c r="Q8" i="5" s="1"/>
  <c r="F8" i="5"/>
  <c r="A8" i="5"/>
  <c r="F7" i="5"/>
  <c r="A7" i="5"/>
  <c r="F6" i="5"/>
  <c r="J6" i="5" s="1"/>
  <c r="O6" i="5" s="1"/>
  <c r="Q6" i="5" s="1"/>
  <c r="A6" i="5"/>
  <c r="O42" i="4"/>
  <c r="O43" i="4"/>
  <c r="O44" i="4"/>
  <c r="O45" i="4"/>
  <c r="O46" i="4"/>
  <c r="O47" i="4"/>
  <c r="O48" i="4"/>
  <c r="O49" i="4"/>
  <c r="O50" i="4"/>
  <c r="Q50" i="4" s="1"/>
  <c r="O51" i="4"/>
  <c r="O52" i="4"/>
  <c r="Q52" i="4" s="1"/>
  <c r="O53" i="4"/>
  <c r="Q53" i="4" s="1"/>
  <c r="O54" i="4"/>
  <c r="Q54" i="4" s="1"/>
  <c r="O55" i="4"/>
  <c r="Q55" i="4" s="1"/>
  <c r="O56" i="4"/>
  <c r="Q56" i="4" s="1"/>
  <c r="O57" i="4"/>
  <c r="O58" i="4"/>
  <c r="O59" i="4"/>
  <c r="O60" i="4"/>
  <c r="O61" i="4"/>
  <c r="O62" i="4"/>
  <c r="O63" i="4"/>
  <c r="Q63" i="4" s="1"/>
  <c r="O64" i="4"/>
  <c r="Q64" i="4" s="1"/>
  <c r="O65" i="4"/>
  <c r="O66" i="4"/>
  <c r="Q66" i="4" s="1"/>
  <c r="O67" i="4"/>
  <c r="Q67" i="4" s="1"/>
  <c r="O68" i="4"/>
  <c r="O69" i="4"/>
  <c r="Q69" i="4" s="1"/>
  <c r="O70" i="4"/>
  <c r="Q70" i="4" s="1"/>
  <c r="O71" i="4"/>
  <c r="O72" i="4"/>
  <c r="O73" i="4"/>
  <c r="O74" i="4"/>
  <c r="O75" i="4"/>
  <c r="O76" i="4"/>
  <c r="Q76" i="4" s="1"/>
  <c r="O77" i="4"/>
  <c r="Q77" i="4" s="1"/>
  <c r="O78" i="4"/>
  <c r="O79" i="4"/>
  <c r="Q79" i="4" s="1"/>
  <c r="O80" i="4"/>
  <c r="Q80" i="4" s="1"/>
  <c r="O81" i="4"/>
  <c r="O82" i="4"/>
  <c r="Q82" i="4" s="1"/>
  <c r="O83" i="4"/>
  <c r="Q83" i="4" s="1"/>
  <c r="O84" i="4"/>
  <c r="O85" i="4"/>
  <c r="O86" i="4"/>
  <c r="O87" i="4"/>
  <c r="O88" i="4"/>
  <c r="O8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N48" i="4" s="1"/>
  <c r="P48" i="4" s="1"/>
  <c r="M49" i="4"/>
  <c r="M50" i="4"/>
  <c r="M51" i="4"/>
  <c r="N51" i="4" s="1"/>
  <c r="P51" i="4" s="1"/>
  <c r="M52" i="4"/>
  <c r="M53" i="4"/>
  <c r="M54" i="4"/>
  <c r="M55" i="4"/>
  <c r="M56" i="4"/>
  <c r="M57" i="4"/>
  <c r="M58" i="4"/>
  <c r="N58" i="4" s="1"/>
  <c r="P58" i="4" s="1"/>
  <c r="M59" i="4"/>
  <c r="N59" i="4" s="1"/>
  <c r="P59" i="4" s="1"/>
  <c r="M60" i="4"/>
  <c r="N60" i="4" s="1"/>
  <c r="P60" i="4" s="1"/>
  <c r="M61" i="4"/>
  <c r="N61" i="4" s="1"/>
  <c r="P61" i="4" s="1"/>
  <c r="M62" i="4"/>
  <c r="N62" i="4" s="1"/>
  <c r="P62" i="4" s="1"/>
  <c r="M63" i="4"/>
  <c r="N63" i="4" s="1"/>
  <c r="P63" i="4" s="1"/>
  <c r="M64" i="4"/>
  <c r="N64" i="4" s="1"/>
  <c r="P64" i="4" s="1"/>
  <c r="M65" i="4"/>
  <c r="N65" i="4" s="1"/>
  <c r="P65" i="4" s="1"/>
  <c r="M66" i="4"/>
  <c r="N66" i="4" s="1"/>
  <c r="P66" i="4" s="1"/>
  <c r="M67" i="4"/>
  <c r="M68" i="4"/>
  <c r="M69" i="4"/>
  <c r="M70" i="4"/>
  <c r="M71" i="4"/>
  <c r="M72" i="4"/>
  <c r="M73" i="4"/>
  <c r="N73" i="4" s="1"/>
  <c r="P73" i="4" s="1"/>
  <c r="M74" i="4"/>
  <c r="M75" i="4"/>
  <c r="M76" i="4"/>
  <c r="N76" i="4" s="1"/>
  <c r="P76" i="4" s="1"/>
  <c r="M77" i="4"/>
  <c r="N77" i="4" s="1"/>
  <c r="P77" i="4" s="1"/>
  <c r="M78" i="4"/>
  <c r="N78" i="4" s="1"/>
  <c r="P78" i="4" s="1"/>
  <c r="M79" i="4"/>
  <c r="N79" i="4" s="1"/>
  <c r="P79" i="4" s="1"/>
  <c r="M80" i="4"/>
  <c r="M81" i="4"/>
  <c r="M82" i="4"/>
  <c r="M83" i="4"/>
  <c r="M84" i="4"/>
  <c r="M85" i="4"/>
  <c r="M86" i="4"/>
  <c r="N86" i="4" s="1"/>
  <c r="P86" i="4" s="1"/>
  <c r="M87" i="4"/>
  <c r="M88" i="4"/>
  <c r="N88" i="4" s="1"/>
  <c r="P88" i="4" s="1"/>
  <c r="M89" i="4"/>
  <c r="N89" i="4" s="1"/>
  <c r="P89" i="4" s="1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" i="4"/>
  <c r="M9" i="4"/>
  <c r="N46" i="4"/>
  <c r="P46" i="4" s="1"/>
  <c r="N49" i="4"/>
  <c r="P49" i="4" s="1"/>
  <c r="N52" i="4"/>
  <c r="P52" i="4" s="1"/>
  <c r="N53" i="4"/>
  <c r="P53" i="4" s="1"/>
  <c r="N54" i="4"/>
  <c r="P54" i="4" s="1"/>
  <c r="N55" i="4"/>
  <c r="P55" i="4" s="1"/>
  <c r="N67" i="4"/>
  <c r="P67" i="4" s="1"/>
  <c r="N68" i="4"/>
  <c r="P68" i="4" s="1"/>
  <c r="N69" i="4"/>
  <c r="P69" i="4" s="1"/>
  <c r="N74" i="4"/>
  <c r="P74" i="4" s="1"/>
  <c r="N80" i="4"/>
  <c r="P80" i="4" s="1"/>
  <c r="N81" i="4"/>
  <c r="P81" i="4" s="1"/>
  <c r="N82" i="4"/>
  <c r="P82" i="4" s="1"/>
  <c r="N83" i="4"/>
  <c r="P83" i="4" s="1"/>
  <c r="N85" i="4"/>
  <c r="P85" i="4" s="1"/>
  <c r="J7" i="4"/>
  <c r="J8" i="4"/>
  <c r="J6" i="4"/>
  <c r="Q89" i="4"/>
  <c r="F89" i="4"/>
  <c r="A89" i="4"/>
  <c r="Q88" i="4"/>
  <c r="F88" i="4"/>
  <c r="A88" i="4"/>
  <c r="Q87" i="4"/>
  <c r="N87" i="4"/>
  <c r="P87" i="4" s="1"/>
  <c r="F87" i="4"/>
  <c r="A87" i="4"/>
  <c r="Q86" i="4"/>
  <c r="F86" i="4"/>
  <c r="E89" i="4"/>
  <c r="A86" i="4"/>
  <c r="Q85" i="4"/>
  <c r="F85" i="4"/>
  <c r="E88" i="4"/>
  <c r="A85" i="4"/>
  <c r="Q84" i="4"/>
  <c r="N84" i="4"/>
  <c r="P84" i="4" s="1"/>
  <c r="F84" i="4"/>
  <c r="R84" i="4" s="1"/>
  <c r="U84" i="4" s="1"/>
  <c r="E87" i="4"/>
  <c r="A84" i="4"/>
  <c r="F83" i="4"/>
  <c r="E86" i="4"/>
  <c r="A83" i="4"/>
  <c r="F82" i="4"/>
  <c r="E85" i="4"/>
  <c r="A82" i="4"/>
  <c r="Q81" i="4"/>
  <c r="F81" i="4"/>
  <c r="E84" i="4"/>
  <c r="A81" i="4"/>
  <c r="F80" i="4"/>
  <c r="E83" i="4"/>
  <c r="A80" i="4"/>
  <c r="F79" i="4"/>
  <c r="E82" i="4"/>
  <c r="A79" i="4"/>
  <c r="Q78" i="4"/>
  <c r="F78" i="4"/>
  <c r="E81" i="4"/>
  <c r="A78" i="4"/>
  <c r="F77" i="4"/>
  <c r="E80" i="4"/>
  <c r="A77" i="4"/>
  <c r="F76" i="4"/>
  <c r="E79" i="4"/>
  <c r="A76" i="4"/>
  <c r="Q75" i="4"/>
  <c r="N75" i="4"/>
  <c r="P75" i="4" s="1"/>
  <c r="F75" i="4"/>
  <c r="E78" i="4"/>
  <c r="A75" i="4"/>
  <c r="Q74" i="4"/>
  <c r="F74" i="4"/>
  <c r="E77" i="4"/>
  <c r="A74" i="4"/>
  <c r="Q73" i="4"/>
  <c r="F73" i="4"/>
  <c r="E76" i="4"/>
  <c r="A73" i="4"/>
  <c r="Q72" i="4"/>
  <c r="N72" i="4"/>
  <c r="P72" i="4" s="1"/>
  <c r="F72" i="4"/>
  <c r="E75" i="4"/>
  <c r="A72" i="4"/>
  <c r="Q71" i="4"/>
  <c r="N71" i="4"/>
  <c r="P71" i="4" s="1"/>
  <c r="F71" i="4"/>
  <c r="E74" i="4"/>
  <c r="A71" i="4"/>
  <c r="N70" i="4"/>
  <c r="P70" i="4" s="1"/>
  <c r="F70" i="4"/>
  <c r="E73" i="4"/>
  <c r="A70" i="4"/>
  <c r="F69" i="4"/>
  <c r="E72" i="4"/>
  <c r="A69" i="4"/>
  <c r="Q68" i="4"/>
  <c r="F68" i="4"/>
  <c r="E71" i="4"/>
  <c r="A68" i="4"/>
  <c r="F67" i="4"/>
  <c r="E70" i="4"/>
  <c r="A67" i="4"/>
  <c r="F66" i="4"/>
  <c r="E69" i="4"/>
  <c r="A66" i="4"/>
  <c r="Q65" i="4"/>
  <c r="F65" i="4"/>
  <c r="E68" i="4"/>
  <c r="A65" i="4"/>
  <c r="F64" i="4"/>
  <c r="E67" i="4"/>
  <c r="A64" i="4"/>
  <c r="F63" i="4"/>
  <c r="E66" i="4"/>
  <c r="A63" i="4"/>
  <c r="Q62" i="4"/>
  <c r="F62" i="4"/>
  <c r="E65" i="4"/>
  <c r="A62" i="4"/>
  <c r="Q61" i="4"/>
  <c r="F61" i="4"/>
  <c r="E64" i="4"/>
  <c r="A61" i="4"/>
  <c r="Q60" i="4"/>
  <c r="F60" i="4"/>
  <c r="E63" i="4"/>
  <c r="A60" i="4"/>
  <c r="Q59" i="4"/>
  <c r="F59" i="4"/>
  <c r="E62" i="4"/>
  <c r="A59" i="4"/>
  <c r="Q58" i="4"/>
  <c r="F58" i="4"/>
  <c r="E61" i="4"/>
  <c r="A58" i="4"/>
  <c r="Q57" i="4"/>
  <c r="N57" i="4"/>
  <c r="P57" i="4" s="1"/>
  <c r="F57" i="4"/>
  <c r="E60" i="4"/>
  <c r="A57" i="4"/>
  <c r="N56" i="4"/>
  <c r="P56" i="4" s="1"/>
  <c r="F56" i="4"/>
  <c r="R56" i="4" s="1"/>
  <c r="U56" i="4" s="1"/>
  <c r="E59" i="4"/>
  <c r="A56" i="4"/>
  <c r="F55" i="4"/>
  <c r="E58" i="4"/>
  <c r="A55" i="4"/>
  <c r="F54" i="4"/>
  <c r="E57" i="4"/>
  <c r="A54" i="4"/>
  <c r="F53" i="4"/>
  <c r="E56" i="4"/>
  <c r="A53" i="4"/>
  <c r="F52" i="4"/>
  <c r="E55" i="4"/>
  <c r="A52" i="4"/>
  <c r="Q51" i="4"/>
  <c r="F51" i="4"/>
  <c r="E54" i="4"/>
  <c r="A51" i="4"/>
  <c r="N50" i="4"/>
  <c r="P50" i="4" s="1"/>
  <c r="F50" i="4"/>
  <c r="E53" i="4"/>
  <c r="A50" i="4"/>
  <c r="Q49" i="4"/>
  <c r="F49" i="4"/>
  <c r="E52" i="4"/>
  <c r="A49" i="4"/>
  <c r="Q48" i="4"/>
  <c r="F48" i="4"/>
  <c r="E51" i="4"/>
  <c r="A48" i="4"/>
  <c r="Q47" i="4"/>
  <c r="N47" i="4"/>
  <c r="P47" i="4" s="1"/>
  <c r="F47" i="4"/>
  <c r="E50" i="4"/>
  <c r="A47" i="4"/>
  <c r="Q46" i="4"/>
  <c r="F46" i="4"/>
  <c r="E49" i="4"/>
  <c r="A46" i="4"/>
  <c r="Q45" i="4"/>
  <c r="N45" i="4"/>
  <c r="P45" i="4" s="1"/>
  <c r="F45" i="4"/>
  <c r="E48" i="4"/>
  <c r="A45" i="4"/>
  <c r="Q44" i="4"/>
  <c r="N44" i="4"/>
  <c r="P44" i="4" s="1"/>
  <c r="F44" i="4"/>
  <c r="E47" i="4"/>
  <c r="A44" i="4"/>
  <c r="Q43" i="4"/>
  <c r="N43" i="4"/>
  <c r="P43" i="4" s="1"/>
  <c r="F43" i="4"/>
  <c r="E46" i="4"/>
  <c r="A43" i="4"/>
  <c r="Q42" i="4"/>
  <c r="N42" i="4"/>
  <c r="P42" i="4" s="1"/>
  <c r="F42" i="4"/>
  <c r="E45" i="4"/>
  <c r="A42" i="4"/>
  <c r="F41" i="4"/>
  <c r="E44" i="4"/>
  <c r="A41" i="4"/>
  <c r="F40" i="4"/>
  <c r="E43" i="4"/>
  <c r="A40" i="4"/>
  <c r="F39" i="4"/>
  <c r="E42" i="4"/>
  <c r="A39" i="4"/>
  <c r="F38" i="4"/>
  <c r="E41" i="4"/>
  <c r="N38" i="4" s="1"/>
  <c r="P38" i="4" s="1"/>
  <c r="A38" i="4"/>
  <c r="F37" i="4"/>
  <c r="E40" i="4"/>
  <c r="A37" i="4"/>
  <c r="F36" i="4"/>
  <c r="E39" i="4"/>
  <c r="A36" i="4"/>
  <c r="F35" i="4"/>
  <c r="E38" i="4"/>
  <c r="A35" i="4"/>
  <c r="F34" i="4"/>
  <c r="E37" i="4"/>
  <c r="A34" i="4"/>
  <c r="F33" i="4"/>
  <c r="E36" i="4"/>
  <c r="A33" i="4"/>
  <c r="F32" i="4"/>
  <c r="E35" i="4"/>
  <c r="A32" i="4"/>
  <c r="F31" i="4"/>
  <c r="E34" i="4"/>
  <c r="A31" i="4"/>
  <c r="F30" i="4"/>
  <c r="E33" i="4"/>
  <c r="A30" i="4"/>
  <c r="F29" i="4"/>
  <c r="E32" i="4"/>
  <c r="A29" i="4"/>
  <c r="F28" i="4"/>
  <c r="E31" i="4"/>
  <c r="A28" i="4"/>
  <c r="F27" i="4"/>
  <c r="E30" i="4"/>
  <c r="A27" i="4"/>
  <c r="F26" i="4"/>
  <c r="E29" i="4"/>
  <c r="A26" i="4"/>
  <c r="F25" i="4"/>
  <c r="E28" i="4"/>
  <c r="S25" i="4" s="1"/>
  <c r="V25" i="4" s="1"/>
  <c r="A25" i="4"/>
  <c r="F24" i="4"/>
  <c r="E27" i="4"/>
  <c r="A24" i="4"/>
  <c r="F23" i="4"/>
  <c r="E26" i="4"/>
  <c r="A23" i="4"/>
  <c r="F22" i="4"/>
  <c r="E25" i="4"/>
  <c r="A22" i="4"/>
  <c r="F21" i="4"/>
  <c r="E24" i="4"/>
  <c r="A21" i="4"/>
  <c r="F20" i="4"/>
  <c r="E23" i="4"/>
  <c r="A20" i="4"/>
  <c r="F19" i="4"/>
  <c r="E22" i="4"/>
  <c r="A19" i="4"/>
  <c r="F18" i="4"/>
  <c r="E21" i="4"/>
  <c r="A18" i="4"/>
  <c r="F17" i="4"/>
  <c r="E20" i="4"/>
  <c r="A17" i="4"/>
  <c r="F16" i="4"/>
  <c r="E19" i="4"/>
  <c r="A16" i="4"/>
  <c r="F15" i="4"/>
  <c r="E18" i="4"/>
  <c r="A15" i="4"/>
  <c r="F14" i="4"/>
  <c r="E17" i="4"/>
  <c r="A14" i="4"/>
  <c r="F13" i="4"/>
  <c r="E16" i="4"/>
  <c r="A13" i="4"/>
  <c r="F12" i="4"/>
  <c r="E15" i="4"/>
  <c r="A12" i="4"/>
  <c r="F11" i="4"/>
  <c r="E14" i="4"/>
  <c r="S11" i="4" s="1"/>
  <c r="V11" i="4" s="1"/>
  <c r="A11" i="4"/>
  <c r="F10" i="4"/>
  <c r="E13" i="4"/>
  <c r="N10" i="4" s="1"/>
  <c r="P10" i="4" s="1"/>
  <c r="A10" i="4"/>
  <c r="F9" i="4"/>
  <c r="E12" i="4"/>
  <c r="A9" i="4"/>
  <c r="F8" i="4"/>
  <c r="E11" i="4"/>
  <c r="A8" i="4"/>
  <c r="F7" i="4"/>
  <c r="E10" i="4"/>
  <c r="A7" i="4"/>
  <c r="F6" i="4"/>
  <c r="E9" i="4"/>
  <c r="A6" i="4"/>
  <c r="A89" i="1"/>
  <c r="A88" i="1"/>
  <c r="A87" i="1"/>
  <c r="A86" i="1"/>
  <c r="A85" i="1"/>
  <c r="A84" i="1"/>
  <c r="A83" i="1"/>
  <c r="A82" i="1"/>
  <c r="A81" i="1"/>
  <c r="A80" i="1"/>
  <c r="A79" i="1"/>
  <c r="A78" i="1"/>
  <c r="V57" i="1"/>
  <c r="U76" i="1"/>
  <c r="U88" i="1"/>
  <c r="E42" i="1"/>
  <c r="F42" i="1"/>
  <c r="K42" i="1" s="1"/>
  <c r="S42" i="1" s="1"/>
  <c r="V42" i="1" s="1"/>
  <c r="E43" i="1"/>
  <c r="F43" i="1"/>
  <c r="E44" i="1"/>
  <c r="F44" i="1"/>
  <c r="E45" i="1"/>
  <c r="F45" i="1"/>
  <c r="L45" i="1" s="1"/>
  <c r="R45" i="1" s="1"/>
  <c r="U45" i="1" s="1"/>
  <c r="E46" i="1"/>
  <c r="F46" i="1"/>
  <c r="L46" i="1" s="1"/>
  <c r="R46" i="1" s="1"/>
  <c r="U46" i="1" s="1"/>
  <c r="E47" i="1"/>
  <c r="F47" i="1"/>
  <c r="L47" i="1" s="1"/>
  <c r="R47" i="1" s="1"/>
  <c r="U47" i="1" s="1"/>
  <c r="E48" i="1"/>
  <c r="F48" i="1"/>
  <c r="L48" i="1" s="1"/>
  <c r="R48" i="1" s="1"/>
  <c r="U48" i="1" s="1"/>
  <c r="E49" i="1"/>
  <c r="F49" i="1"/>
  <c r="L49" i="1" s="1"/>
  <c r="R49" i="1" s="1"/>
  <c r="U49" i="1" s="1"/>
  <c r="E50" i="1"/>
  <c r="F50" i="1"/>
  <c r="E51" i="1"/>
  <c r="F51" i="1"/>
  <c r="E52" i="1"/>
  <c r="F52" i="1"/>
  <c r="L52" i="1" s="1"/>
  <c r="R52" i="1" s="1"/>
  <c r="U52" i="1" s="1"/>
  <c r="E53" i="1"/>
  <c r="F53" i="1"/>
  <c r="L53" i="1" s="1"/>
  <c r="R53" i="1" s="1"/>
  <c r="U53" i="1" s="1"/>
  <c r="E54" i="1"/>
  <c r="F54" i="1"/>
  <c r="L54" i="1" s="1"/>
  <c r="R54" i="1" s="1"/>
  <c r="U54" i="1" s="1"/>
  <c r="E55" i="1"/>
  <c r="F55" i="1"/>
  <c r="L55" i="1" s="1"/>
  <c r="R55" i="1" s="1"/>
  <c r="U55" i="1" s="1"/>
  <c r="E56" i="1"/>
  <c r="F56" i="1"/>
  <c r="K56" i="1" s="1"/>
  <c r="S56" i="1" s="1"/>
  <c r="V56" i="1" s="1"/>
  <c r="E57" i="1"/>
  <c r="F57" i="1"/>
  <c r="L57" i="1" s="1"/>
  <c r="R57" i="1" s="1"/>
  <c r="U57" i="1" s="1"/>
  <c r="E58" i="1"/>
  <c r="F58" i="1"/>
  <c r="E59" i="1"/>
  <c r="F59" i="1"/>
  <c r="E60" i="1"/>
  <c r="F60" i="1"/>
  <c r="L60" i="1" s="1"/>
  <c r="R60" i="1" s="1"/>
  <c r="U60" i="1" s="1"/>
  <c r="E61" i="1"/>
  <c r="F61" i="1"/>
  <c r="L61" i="1" s="1"/>
  <c r="R61" i="1" s="1"/>
  <c r="U61" i="1" s="1"/>
  <c r="E62" i="1"/>
  <c r="F62" i="1"/>
  <c r="L62" i="1" s="1"/>
  <c r="R62" i="1" s="1"/>
  <c r="U62" i="1" s="1"/>
  <c r="E63" i="1"/>
  <c r="F63" i="1"/>
  <c r="K63" i="1" s="1"/>
  <c r="S63" i="1" s="1"/>
  <c r="V63" i="1" s="1"/>
  <c r="E64" i="1"/>
  <c r="F64" i="1"/>
  <c r="E65" i="1"/>
  <c r="F65" i="1"/>
  <c r="E66" i="1"/>
  <c r="F66" i="1"/>
  <c r="L66" i="1" s="1"/>
  <c r="R66" i="1" s="1"/>
  <c r="U66" i="1" s="1"/>
  <c r="E67" i="1"/>
  <c r="F67" i="1"/>
  <c r="L67" i="1" s="1"/>
  <c r="R67" i="1" s="1"/>
  <c r="U67" i="1" s="1"/>
  <c r="E68" i="1"/>
  <c r="F68" i="1"/>
  <c r="L68" i="1" s="1"/>
  <c r="R68" i="1" s="1"/>
  <c r="U68" i="1" s="1"/>
  <c r="E69" i="1"/>
  <c r="F69" i="1"/>
  <c r="L69" i="1" s="1"/>
  <c r="R69" i="1" s="1"/>
  <c r="U69" i="1" s="1"/>
  <c r="E70" i="1"/>
  <c r="F70" i="1"/>
  <c r="K70" i="1" s="1"/>
  <c r="S70" i="1" s="1"/>
  <c r="V70" i="1" s="1"/>
  <c r="E71" i="1"/>
  <c r="F71" i="1"/>
  <c r="E72" i="1"/>
  <c r="F72" i="1"/>
  <c r="E73" i="1"/>
  <c r="F73" i="1"/>
  <c r="E74" i="1"/>
  <c r="F74" i="1"/>
  <c r="L74" i="1" s="1"/>
  <c r="R74" i="1" s="1"/>
  <c r="U74" i="1" s="1"/>
  <c r="E75" i="1"/>
  <c r="F75" i="1"/>
  <c r="L75" i="1" s="1"/>
  <c r="R75" i="1" s="1"/>
  <c r="U75" i="1" s="1"/>
  <c r="E76" i="1"/>
  <c r="F76" i="1"/>
  <c r="L76" i="1" s="1"/>
  <c r="R76" i="1" s="1"/>
  <c r="E77" i="1"/>
  <c r="F77" i="1"/>
  <c r="K77" i="1" s="1"/>
  <c r="S77" i="1" s="1"/>
  <c r="V77" i="1" s="1"/>
  <c r="E78" i="1"/>
  <c r="F78" i="1"/>
  <c r="E79" i="1"/>
  <c r="F79" i="1"/>
  <c r="E80" i="1"/>
  <c r="F80" i="1"/>
  <c r="L80" i="1" s="1"/>
  <c r="R80" i="1" s="1"/>
  <c r="U80" i="1" s="1"/>
  <c r="E81" i="1"/>
  <c r="F81" i="1"/>
  <c r="L81" i="1" s="1"/>
  <c r="R81" i="1" s="1"/>
  <c r="U81" i="1" s="1"/>
  <c r="E82" i="1"/>
  <c r="F82" i="1"/>
  <c r="L82" i="1" s="1"/>
  <c r="R82" i="1" s="1"/>
  <c r="U82" i="1" s="1"/>
  <c r="E83" i="1"/>
  <c r="F83" i="1"/>
  <c r="L83" i="1" s="1"/>
  <c r="R83" i="1" s="1"/>
  <c r="U83" i="1" s="1"/>
  <c r="E84" i="1"/>
  <c r="F84" i="1"/>
  <c r="K84" i="1" s="1"/>
  <c r="S84" i="1" s="1"/>
  <c r="V84" i="1" s="1"/>
  <c r="E85" i="1"/>
  <c r="F85" i="1"/>
  <c r="E86" i="1"/>
  <c r="F86" i="1"/>
  <c r="E87" i="1"/>
  <c r="F87" i="1"/>
  <c r="K87" i="1" s="1"/>
  <c r="S87" i="1" s="1"/>
  <c r="V87" i="1" s="1"/>
  <c r="E88" i="1"/>
  <c r="F88" i="1"/>
  <c r="L88" i="1" s="1"/>
  <c r="R88" i="1" s="1"/>
  <c r="E89" i="1"/>
  <c r="F89" i="1"/>
  <c r="L89" i="1" s="1"/>
  <c r="R89" i="1" s="1"/>
  <c r="U89" i="1" s="1"/>
  <c r="L43" i="1"/>
  <c r="R43" i="1" s="1"/>
  <c r="U43" i="1" s="1"/>
  <c r="L50" i="1"/>
  <c r="R50" i="1" s="1"/>
  <c r="U50" i="1" s="1"/>
  <c r="L51" i="1"/>
  <c r="R51" i="1" s="1"/>
  <c r="U51" i="1" s="1"/>
  <c r="L59" i="1"/>
  <c r="R59" i="1" s="1"/>
  <c r="U59" i="1" s="1"/>
  <c r="L64" i="1"/>
  <c r="R64" i="1" s="1"/>
  <c r="U64" i="1" s="1"/>
  <c r="L65" i="1"/>
  <c r="R65" i="1" s="1"/>
  <c r="U65" i="1" s="1"/>
  <c r="L71" i="1"/>
  <c r="R71" i="1" s="1"/>
  <c r="U71" i="1" s="1"/>
  <c r="L73" i="1"/>
  <c r="R73" i="1" s="1"/>
  <c r="U73" i="1" s="1"/>
  <c r="L77" i="1"/>
  <c r="R77" i="1" s="1"/>
  <c r="U77" i="1" s="1"/>
  <c r="L78" i="1"/>
  <c r="R78" i="1" s="1"/>
  <c r="U78" i="1" s="1"/>
  <c r="L79" i="1"/>
  <c r="R79" i="1" s="1"/>
  <c r="U79" i="1" s="1"/>
  <c r="L85" i="1"/>
  <c r="R85" i="1" s="1"/>
  <c r="U85" i="1" s="1"/>
  <c r="L87" i="1"/>
  <c r="R87" i="1" s="1"/>
  <c r="U87" i="1" s="1"/>
  <c r="N85" i="1"/>
  <c r="P85" i="1" s="1"/>
  <c r="Q85" i="1"/>
  <c r="N86" i="1"/>
  <c r="P86" i="1" s="1"/>
  <c r="Q86" i="1"/>
  <c r="N87" i="1"/>
  <c r="P87" i="1"/>
  <c r="Q87" i="1"/>
  <c r="N88" i="1"/>
  <c r="P88" i="1"/>
  <c r="Q88" i="1"/>
  <c r="N89" i="1"/>
  <c r="P89" i="1" s="1"/>
  <c r="Q89" i="1"/>
  <c r="K85" i="1"/>
  <c r="S85" i="1" s="1"/>
  <c r="V85" i="1" s="1"/>
  <c r="K86" i="1"/>
  <c r="S86" i="1" s="1"/>
  <c r="V86" i="1" s="1"/>
  <c r="E18" i="1"/>
  <c r="E19" i="1"/>
  <c r="E20" i="1"/>
  <c r="E21" i="1"/>
  <c r="E22" i="1"/>
  <c r="K22" i="1" s="1"/>
  <c r="E23" i="1"/>
  <c r="E24" i="1"/>
  <c r="E25" i="1"/>
  <c r="E26" i="1"/>
  <c r="E27" i="1"/>
  <c r="E28" i="1"/>
  <c r="E29" i="1"/>
  <c r="K29" i="1" s="1"/>
  <c r="E30" i="1"/>
  <c r="E31" i="1"/>
  <c r="E32" i="1"/>
  <c r="M32" i="1" s="1"/>
  <c r="E33" i="1"/>
  <c r="M33" i="1" s="1"/>
  <c r="E34" i="1"/>
  <c r="M34" i="1" s="1"/>
  <c r="E35" i="1"/>
  <c r="M35" i="1" s="1"/>
  <c r="E36" i="1"/>
  <c r="L36" i="1" s="1"/>
  <c r="E37" i="1"/>
  <c r="L37" i="1" s="1"/>
  <c r="E38" i="1"/>
  <c r="E39" i="1"/>
  <c r="E40" i="1"/>
  <c r="E41" i="1"/>
  <c r="E18" i="3"/>
  <c r="E19" i="3"/>
  <c r="E20" i="3"/>
  <c r="M20" i="3" s="1"/>
  <c r="N20" i="3" s="1"/>
  <c r="P20" i="3" s="1"/>
  <c r="E21" i="3"/>
  <c r="M21" i="3" s="1"/>
  <c r="N21" i="3" s="1"/>
  <c r="P21" i="3" s="1"/>
  <c r="E22" i="3"/>
  <c r="E23" i="3"/>
  <c r="E24" i="3"/>
  <c r="M24" i="3" s="1"/>
  <c r="N24" i="3" s="1"/>
  <c r="P24" i="3" s="1"/>
  <c r="E25" i="3"/>
  <c r="M25" i="3" s="1"/>
  <c r="N25" i="3" s="1"/>
  <c r="P25" i="3" s="1"/>
  <c r="E26" i="3"/>
  <c r="E27" i="3"/>
  <c r="E28" i="3"/>
  <c r="K28" i="3" s="1"/>
  <c r="S28" i="3" s="1"/>
  <c r="V28" i="3" s="1"/>
  <c r="E29" i="3"/>
  <c r="M29" i="3" s="1"/>
  <c r="N29" i="3" s="1"/>
  <c r="P29" i="3" s="1"/>
  <c r="E30" i="3"/>
  <c r="E31" i="3"/>
  <c r="E32" i="3"/>
  <c r="K32" i="3" s="1"/>
  <c r="S32" i="3" s="1"/>
  <c r="V32" i="3" s="1"/>
  <c r="E33" i="3"/>
  <c r="M33" i="3" s="1"/>
  <c r="N33" i="3" s="1"/>
  <c r="P33" i="3" s="1"/>
  <c r="E34" i="3"/>
  <c r="E35" i="3"/>
  <c r="E36" i="3"/>
  <c r="M36" i="3" s="1"/>
  <c r="N36" i="3" s="1"/>
  <c r="P36" i="3" s="1"/>
  <c r="E37" i="3"/>
  <c r="M37" i="3" s="1"/>
  <c r="N37" i="3" s="1"/>
  <c r="P37" i="3" s="1"/>
  <c r="E38" i="3"/>
  <c r="E39" i="3"/>
  <c r="E40" i="3"/>
  <c r="M40" i="3" s="1"/>
  <c r="N40" i="3" s="1"/>
  <c r="P40" i="3" s="1"/>
  <c r="E41" i="3"/>
  <c r="M41" i="3" s="1"/>
  <c r="N41" i="3" s="1"/>
  <c r="P41" i="3" s="1"/>
  <c r="E17" i="3"/>
  <c r="S84" i="3"/>
  <c r="Q84" i="3"/>
  <c r="P84" i="3"/>
  <c r="N84" i="3"/>
  <c r="K84" i="3"/>
  <c r="A84" i="3"/>
  <c r="Q83" i="3"/>
  <c r="N83" i="3"/>
  <c r="P83" i="3" s="1"/>
  <c r="K83" i="3"/>
  <c r="S83" i="3" s="1"/>
  <c r="A83" i="3"/>
  <c r="S82" i="3"/>
  <c r="Q82" i="3"/>
  <c r="P82" i="3"/>
  <c r="N82" i="3"/>
  <c r="K82" i="3"/>
  <c r="A82" i="3"/>
  <c r="Q81" i="3"/>
  <c r="P81" i="3"/>
  <c r="N81" i="3"/>
  <c r="K81" i="3"/>
  <c r="S81" i="3" s="1"/>
  <c r="A81" i="3"/>
  <c r="Q80" i="3"/>
  <c r="P80" i="3"/>
  <c r="N80" i="3"/>
  <c r="K80" i="3"/>
  <c r="S80" i="3" s="1"/>
  <c r="A80" i="3"/>
  <c r="Q79" i="3"/>
  <c r="N79" i="3"/>
  <c r="P79" i="3" s="1"/>
  <c r="K79" i="3"/>
  <c r="S79" i="3" s="1"/>
  <c r="A79" i="3"/>
  <c r="Q78" i="3"/>
  <c r="P78" i="3"/>
  <c r="N78" i="3"/>
  <c r="K78" i="3"/>
  <c r="S78" i="3" s="1"/>
  <c r="A78" i="3"/>
  <c r="Q77" i="3"/>
  <c r="N77" i="3"/>
  <c r="P77" i="3" s="1"/>
  <c r="K77" i="3"/>
  <c r="S77" i="3" s="1"/>
  <c r="A77" i="3"/>
  <c r="Q76" i="3"/>
  <c r="N76" i="3"/>
  <c r="P76" i="3" s="1"/>
  <c r="K76" i="3"/>
  <c r="S76" i="3" s="1"/>
  <c r="A76" i="3"/>
  <c r="S75" i="3"/>
  <c r="Q75" i="3"/>
  <c r="P75" i="3"/>
  <c r="N75" i="3"/>
  <c r="K75" i="3"/>
  <c r="A75" i="3"/>
  <c r="S74" i="3"/>
  <c r="Q74" i="3"/>
  <c r="P74" i="3"/>
  <c r="N74" i="3"/>
  <c r="K74" i="3"/>
  <c r="A74" i="3"/>
  <c r="S73" i="3"/>
  <c r="Q73" i="3"/>
  <c r="N73" i="3"/>
  <c r="P73" i="3" s="1"/>
  <c r="K73" i="3"/>
  <c r="A73" i="3"/>
  <c r="S72" i="3"/>
  <c r="Q72" i="3"/>
  <c r="N72" i="3"/>
  <c r="P72" i="3" s="1"/>
  <c r="K72" i="3"/>
  <c r="A72" i="3"/>
  <c r="Q71" i="3"/>
  <c r="N71" i="3"/>
  <c r="P71" i="3" s="1"/>
  <c r="K71" i="3"/>
  <c r="S71" i="3" s="1"/>
  <c r="A71" i="3"/>
  <c r="Q70" i="3"/>
  <c r="P70" i="3"/>
  <c r="N70" i="3"/>
  <c r="K70" i="3"/>
  <c r="S70" i="3" s="1"/>
  <c r="A70" i="3"/>
  <c r="Q69" i="3"/>
  <c r="P69" i="3"/>
  <c r="N69" i="3"/>
  <c r="K69" i="3"/>
  <c r="S69" i="3" s="1"/>
  <c r="A69" i="3"/>
  <c r="Q68" i="3"/>
  <c r="N68" i="3"/>
  <c r="P68" i="3" s="1"/>
  <c r="K68" i="3"/>
  <c r="S68" i="3" s="1"/>
  <c r="A68" i="3"/>
  <c r="Q67" i="3"/>
  <c r="N67" i="3"/>
  <c r="P67" i="3" s="1"/>
  <c r="K67" i="3"/>
  <c r="S67" i="3" s="1"/>
  <c r="A67" i="3"/>
  <c r="Q66" i="3"/>
  <c r="N66" i="3"/>
  <c r="P66" i="3" s="1"/>
  <c r="K66" i="3"/>
  <c r="S66" i="3" s="1"/>
  <c r="A66" i="3"/>
  <c r="S65" i="3"/>
  <c r="Q65" i="3"/>
  <c r="P65" i="3"/>
  <c r="N65" i="3"/>
  <c r="K65" i="3"/>
  <c r="A65" i="3"/>
  <c r="S64" i="3"/>
  <c r="Q64" i="3"/>
  <c r="N64" i="3"/>
  <c r="P64" i="3" s="1"/>
  <c r="K64" i="3"/>
  <c r="A64" i="3"/>
  <c r="S63" i="3"/>
  <c r="Q63" i="3"/>
  <c r="N63" i="3"/>
  <c r="P63" i="3" s="1"/>
  <c r="K63" i="3"/>
  <c r="A63" i="3"/>
  <c r="S62" i="3"/>
  <c r="Q62" i="3"/>
  <c r="N62" i="3"/>
  <c r="P62" i="3" s="1"/>
  <c r="K62" i="3"/>
  <c r="A62" i="3"/>
  <c r="Q61" i="3"/>
  <c r="N61" i="3"/>
  <c r="P61" i="3" s="1"/>
  <c r="K61" i="3"/>
  <c r="S61" i="3" s="1"/>
  <c r="A61" i="3"/>
  <c r="Q60" i="3"/>
  <c r="P60" i="3"/>
  <c r="N60" i="3"/>
  <c r="K60" i="3"/>
  <c r="S60" i="3" s="1"/>
  <c r="A60" i="3"/>
  <c r="Q59" i="3"/>
  <c r="N59" i="3"/>
  <c r="P59" i="3" s="1"/>
  <c r="K59" i="3"/>
  <c r="S59" i="3" s="1"/>
  <c r="A59" i="3"/>
  <c r="Q58" i="3"/>
  <c r="N58" i="3"/>
  <c r="P58" i="3" s="1"/>
  <c r="K58" i="3"/>
  <c r="S58" i="3" s="1"/>
  <c r="A58" i="3"/>
  <c r="S57" i="3"/>
  <c r="Q57" i="3"/>
  <c r="N57" i="3"/>
  <c r="P57" i="3" s="1"/>
  <c r="K57" i="3"/>
  <c r="A57" i="3"/>
  <c r="Q56" i="3"/>
  <c r="N56" i="3"/>
  <c r="P56" i="3" s="1"/>
  <c r="K56" i="3"/>
  <c r="S56" i="3" s="1"/>
  <c r="A56" i="3"/>
  <c r="S55" i="3"/>
  <c r="Q55" i="3"/>
  <c r="P55" i="3"/>
  <c r="N55" i="3"/>
  <c r="K55" i="3"/>
  <c r="A55" i="3"/>
  <c r="S54" i="3"/>
  <c r="Q54" i="3"/>
  <c r="N54" i="3"/>
  <c r="P54" i="3" s="1"/>
  <c r="K54" i="3"/>
  <c r="A54" i="3"/>
  <c r="S53" i="3"/>
  <c r="Q53" i="3"/>
  <c r="N53" i="3"/>
  <c r="P53" i="3" s="1"/>
  <c r="K53" i="3"/>
  <c r="A53" i="3"/>
  <c r="Q52" i="3"/>
  <c r="N52" i="3"/>
  <c r="P52" i="3" s="1"/>
  <c r="K52" i="3"/>
  <c r="S52" i="3" s="1"/>
  <c r="A52" i="3"/>
  <c r="Q51" i="3"/>
  <c r="N51" i="3"/>
  <c r="P51" i="3" s="1"/>
  <c r="K51" i="3"/>
  <c r="S51" i="3" s="1"/>
  <c r="A51" i="3"/>
  <c r="Q50" i="3"/>
  <c r="P50" i="3"/>
  <c r="N50" i="3"/>
  <c r="K50" i="3"/>
  <c r="S50" i="3" s="1"/>
  <c r="A50" i="3"/>
  <c r="Q49" i="3"/>
  <c r="P49" i="3"/>
  <c r="N49" i="3"/>
  <c r="K49" i="3"/>
  <c r="S49" i="3" s="1"/>
  <c r="A49" i="3"/>
  <c r="Q48" i="3"/>
  <c r="N48" i="3"/>
  <c r="P48" i="3" s="1"/>
  <c r="K48" i="3"/>
  <c r="S48" i="3" s="1"/>
  <c r="A48" i="3"/>
  <c r="Q47" i="3"/>
  <c r="N47" i="3"/>
  <c r="P47" i="3" s="1"/>
  <c r="K47" i="3"/>
  <c r="S47" i="3" s="1"/>
  <c r="A47" i="3"/>
  <c r="Q46" i="3"/>
  <c r="N46" i="3"/>
  <c r="P46" i="3" s="1"/>
  <c r="K46" i="3"/>
  <c r="S46" i="3" s="1"/>
  <c r="A46" i="3"/>
  <c r="S45" i="3"/>
  <c r="Q45" i="3"/>
  <c r="P45" i="3"/>
  <c r="N45" i="3"/>
  <c r="K45" i="3"/>
  <c r="A45" i="3"/>
  <c r="S44" i="3"/>
  <c r="Q44" i="3"/>
  <c r="N44" i="3"/>
  <c r="P44" i="3" s="1"/>
  <c r="K44" i="3"/>
  <c r="A44" i="3"/>
  <c r="S43" i="3"/>
  <c r="Q43" i="3"/>
  <c r="N43" i="3"/>
  <c r="P43" i="3" s="1"/>
  <c r="K43" i="3"/>
  <c r="A43" i="3"/>
  <c r="S42" i="3"/>
  <c r="Q42" i="3"/>
  <c r="N42" i="3"/>
  <c r="P42" i="3" s="1"/>
  <c r="K42" i="3"/>
  <c r="A42" i="3"/>
  <c r="F41" i="3"/>
  <c r="A41" i="3"/>
  <c r="F40" i="3"/>
  <c r="A40" i="3"/>
  <c r="F39" i="3"/>
  <c r="J39" i="3" s="1"/>
  <c r="O39" i="3" s="1"/>
  <c r="Q39" i="3" s="1"/>
  <c r="A39" i="3"/>
  <c r="F38" i="3"/>
  <c r="A38" i="3"/>
  <c r="F37" i="3"/>
  <c r="A37" i="3"/>
  <c r="F36" i="3"/>
  <c r="A36" i="3"/>
  <c r="F35" i="3"/>
  <c r="A35" i="3"/>
  <c r="F34" i="3"/>
  <c r="A34" i="3"/>
  <c r="F33" i="3"/>
  <c r="A33" i="3"/>
  <c r="F32" i="3"/>
  <c r="A32" i="3"/>
  <c r="F31" i="3"/>
  <c r="A31" i="3"/>
  <c r="F30" i="3"/>
  <c r="A30" i="3"/>
  <c r="F29" i="3"/>
  <c r="A29" i="3"/>
  <c r="M28" i="3"/>
  <c r="N28" i="3" s="1"/>
  <c r="P28" i="3" s="1"/>
  <c r="L28" i="3"/>
  <c r="R28" i="3" s="1"/>
  <c r="U28" i="3" s="1"/>
  <c r="F28" i="3"/>
  <c r="A28" i="3"/>
  <c r="F27" i="3"/>
  <c r="A27" i="3"/>
  <c r="F26" i="3"/>
  <c r="A26" i="3"/>
  <c r="F25" i="3"/>
  <c r="A25" i="3"/>
  <c r="L24" i="3"/>
  <c r="R24" i="3" s="1"/>
  <c r="U24" i="3" s="1"/>
  <c r="F24" i="3"/>
  <c r="A24" i="3"/>
  <c r="F23" i="3"/>
  <c r="A23" i="3"/>
  <c r="F22" i="3"/>
  <c r="A22" i="3"/>
  <c r="F21" i="3"/>
  <c r="A21" i="3"/>
  <c r="L20" i="3"/>
  <c r="R20" i="3" s="1"/>
  <c r="U20" i="3" s="1"/>
  <c r="F20" i="3"/>
  <c r="A20" i="3"/>
  <c r="F19" i="3"/>
  <c r="A19" i="3"/>
  <c r="F18" i="3"/>
  <c r="A18" i="3"/>
  <c r="F17" i="3"/>
  <c r="M17" i="3"/>
  <c r="N17" i="3" s="1"/>
  <c r="P17" i="3" s="1"/>
  <c r="A17" i="3"/>
  <c r="M16" i="3"/>
  <c r="N16" i="3" s="1"/>
  <c r="P16" i="3" s="1"/>
  <c r="L16" i="3"/>
  <c r="R16" i="3" s="1"/>
  <c r="U16" i="3" s="1"/>
  <c r="K16" i="3"/>
  <c r="S16" i="3" s="1"/>
  <c r="V16" i="3" s="1"/>
  <c r="F16" i="3"/>
  <c r="E16" i="3"/>
  <c r="A16" i="3"/>
  <c r="F15" i="3"/>
  <c r="E15" i="3"/>
  <c r="A15" i="3"/>
  <c r="F14" i="3"/>
  <c r="M14" i="3" s="1"/>
  <c r="N14" i="3" s="1"/>
  <c r="P14" i="3" s="1"/>
  <c r="E14" i="3"/>
  <c r="A14" i="3"/>
  <c r="F13" i="3"/>
  <c r="E13" i="3"/>
  <c r="A13" i="3"/>
  <c r="S12" i="3"/>
  <c r="V12" i="3" s="1"/>
  <c r="M12" i="3"/>
  <c r="N12" i="3" s="1"/>
  <c r="P12" i="3" s="1"/>
  <c r="L12" i="3"/>
  <c r="R12" i="3" s="1"/>
  <c r="U12" i="3" s="1"/>
  <c r="K12" i="3"/>
  <c r="F12" i="3"/>
  <c r="E12" i="3"/>
  <c r="A12" i="3"/>
  <c r="F11" i="3"/>
  <c r="J11" i="3" s="1"/>
  <c r="O11" i="3" s="1"/>
  <c r="Q11" i="3" s="1"/>
  <c r="E11" i="3"/>
  <c r="A11" i="3"/>
  <c r="V10" i="3"/>
  <c r="R10" i="3"/>
  <c r="U10" i="3" s="1"/>
  <c r="Q10" i="3"/>
  <c r="M10" i="3"/>
  <c r="N10" i="3" s="1"/>
  <c r="P10" i="3" s="1"/>
  <c r="L10" i="3"/>
  <c r="K10" i="3"/>
  <c r="S10" i="3" s="1"/>
  <c r="F10" i="3"/>
  <c r="J10" i="3" s="1"/>
  <c r="O10" i="3" s="1"/>
  <c r="E10" i="3"/>
  <c r="A10" i="3"/>
  <c r="F9" i="3"/>
  <c r="E9" i="3"/>
  <c r="A9" i="3"/>
  <c r="F8" i="3"/>
  <c r="E8" i="3"/>
  <c r="K8" i="3" s="1"/>
  <c r="S8" i="3" s="1"/>
  <c r="V8" i="3" s="1"/>
  <c r="A8" i="3"/>
  <c r="R7" i="3"/>
  <c r="U7" i="3" s="1"/>
  <c r="F7" i="3"/>
  <c r="L7" i="3" s="1"/>
  <c r="E7" i="3"/>
  <c r="A7" i="3"/>
  <c r="F6" i="3"/>
  <c r="E6" i="3"/>
  <c r="A6" i="3"/>
  <c r="M7" i="1"/>
  <c r="M8" i="1"/>
  <c r="M13" i="1"/>
  <c r="M18" i="1"/>
  <c r="M19" i="1"/>
  <c r="M20" i="1"/>
  <c r="M21" i="1"/>
  <c r="M22" i="1"/>
  <c r="M27" i="1"/>
  <c r="M41" i="1"/>
  <c r="M6" i="1"/>
  <c r="L7" i="1"/>
  <c r="L15" i="1"/>
  <c r="L17" i="1"/>
  <c r="L18" i="1"/>
  <c r="L19" i="1"/>
  <c r="L20" i="1"/>
  <c r="L21" i="1"/>
  <c r="L27" i="1"/>
  <c r="L33" i="1"/>
  <c r="L34" i="1"/>
  <c r="L35" i="1"/>
  <c r="L41" i="1"/>
  <c r="K13" i="1"/>
  <c r="K14" i="1"/>
  <c r="K15" i="1"/>
  <c r="K16" i="1"/>
  <c r="K17" i="1"/>
  <c r="K18" i="1"/>
  <c r="K19" i="1"/>
  <c r="K41" i="1"/>
  <c r="K43" i="1"/>
  <c r="S43" i="1" s="1"/>
  <c r="V43" i="1" s="1"/>
  <c r="K45" i="1"/>
  <c r="S45" i="1" s="1"/>
  <c r="V45" i="1" s="1"/>
  <c r="K49" i="1"/>
  <c r="S49" i="1" s="1"/>
  <c r="V49" i="1" s="1"/>
  <c r="K50" i="1"/>
  <c r="S50" i="1" s="1"/>
  <c r="V50" i="1" s="1"/>
  <c r="K51" i="1"/>
  <c r="S51" i="1" s="1"/>
  <c r="V51" i="1" s="1"/>
  <c r="K57" i="1"/>
  <c r="K59" i="1"/>
  <c r="S59" i="1" s="1"/>
  <c r="V59" i="1" s="1"/>
  <c r="K64" i="1"/>
  <c r="S64" i="1" s="1"/>
  <c r="V64" i="1" s="1"/>
  <c r="K65" i="1"/>
  <c r="S65" i="1" s="1"/>
  <c r="V65" i="1" s="1"/>
  <c r="K71" i="1"/>
  <c r="S71" i="1" s="1"/>
  <c r="V71" i="1" s="1"/>
  <c r="K73" i="1"/>
  <c r="S73" i="1" s="1"/>
  <c r="V73" i="1" s="1"/>
  <c r="K78" i="1"/>
  <c r="S78" i="1" s="1"/>
  <c r="V78" i="1" s="1"/>
  <c r="K79" i="1"/>
  <c r="S79" i="1" s="1"/>
  <c r="V79" i="1" s="1"/>
  <c r="E6" i="1"/>
  <c r="E7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P64" i="1"/>
  <c r="P65" i="1"/>
  <c r="P66" i="1"/>
  <c r="P79" i="1"/>
  <c r="P80" i="1"/>
  <c r="P81" i="1"/>
  <c r="P84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6" i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N65" i="1"/>
  <c r="N66" i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N80" i="1"/>
  <c r="N81" i="1"/>
  <c r="N82" i="1"/>
  <c r="P82" i="1" s="1"/>
  <c r="N83" i="1"/>
  <c r="P83" i="1" s="1"/>
  <c r="N84" i="1"/>
  <c r="F7" i="1"/>
  <c r="K7" i="1" s="1"/>
  <c r="F8" i="1"/>
  <c r="L8" i="1" s="1"/>
  <c r="F9" i="1"/>
  <c r="M9" i="1" s="1"/>
  <c r="F10" i="1"/>
  <c r="M10" i="1" s="1"/>
  <c r="F11" i="1"/>
  <c r="L11" i="1" s="1"/>
  <c r="F12" i="1"/>
  <c r="M12" i="1" s="1"/>
  <c r="F13" i="1"/>
  <c r="L13" i="1" s="1"/>
  <c r="F14" i="1"/>
  <c r="M14" i="1" s="1"/>
  <c r="F15" i="1"/>
  <c r="M15" i="1" s="1"/>
  <c r="F16" i="1"/>
  <c r="M16" i="1" s="1"/>
  <c r="F17" i="1"/>
  <c r="M17" i="1" s="1"/>
  <c r="F18" i="1"/>
  <c r="F19" i="1"/>
  <c r="F20" i="1"/>
  <c r="K20" i="1" s="1"/>
  <c r="F21" i="1"/>
  <c r="K21" i="1" s="1"/>
  <c r="F22" i="1"/>
  <c r="F23" i="1"/>
  <c r="M23" i="1" s="1"/>
  <c r="F24" i="1"/>
  <c r="M24" i="1" s="1"/>
  <c r="F25" i="1"/>
  <c r="M25" i="1" s="1"/>
  <c r="F26" i="1"/>
  <c r="M26" i="1" s="1"/>
  <c r="F27" i="1"/>
  <c r="F28" i="1"/>
  <c r="M28" i="1" s="1"/>
  <c r="F29" i="1"/>
  <c r="M29" i="1" s="1"/>
  <c r="F30" i="1"/>
  <c r="M30" i="1" s="1"/>
  <c r="F31" i="1"/>
  <c r="F32" i="1"/>
  <c r="F33" i="1"/>
  <c r="K33" i="1" s="1"/>
  <c r="F34" i="1"/>
  <c r="F35" i="1"/>
  <c r="F36" i="1"/>
  <c r="F37" i="1"/>
  <c r="F38" i="1"/>
  <c r="K38" i="1" s="1"/>
  <c r="F39" i="1"/>
  <c r="M39" i="1" s="1"/>
  <c r="F40" i="1"/>
  <c r="K40" i="1" s="1"/>
  <c r="F41" i="1"/>
  <c r="F6" i="1"/>
  <c r="L6" i="1" s="1"/>
  <c r="S57" i="1"/>
  <c r="E17" i="1"/>
  <c r="E16" i="1"/>
  <c r="E15" i="1"/>
  <c r="E14" i="1"/>
  <c r="E13" i="1"/>
  <c r="E12" i="1"/>
  <c r="E11" i="1"/>
  <c r="E10" i="1"/>
  <c r="E9" i="1"/>
  <c r="E8" i="1"/>
  <c r="J58" i="5" l="1"/>
  <c r="O58" i="5" s="1"/>
  <c r="Q58" i="5" s="1"/>
  <c r="J72" i="5"/>
  <c r="O72" i="5" s="1"/>
  <c r="Q72" i="5" s="1"/>
  <c r="K39" i="5"/>
  <c r="S39" i="5" s="1"/>
  <c r="V39" i="5" s="1"/>
  <c r="J44" i="5"/>
  <c r="O44" i="5" s="1"/>
  <c r="Q44" i="5" s="1"/>
  <c r="K40" i="5"/>
  <c r="S40" i="5" s="1"/>
  <c r="V40" i="5" s="1"/>
  <c r="K86" i="5"/>
  <c r="S86" i="5" s="1"/>
  <c r="V86" i="5" s="1"/>
  <c r="J52" i="5"/>
  <c r="O52" i="5" s="1"/>
  <c r="Q52" i="5" s="1"/>
  <c r="L86" i="5"/>
  <c r="R86" i="5" s="1"/>
  <c r="U86" i="5" s="1"/>
  <c r="K53" i="5"/>
  <c r="S53" i="5" s="1"/>
  <c r="V53" i="5" s="1"/>
  <c r="K79" i="5"/>
  <c r="S79" i="5" s="1"/>
  <c r="V79" i="5" s="1"/>
  <c r="L84" i="5"/>
  <c r="R84" i="5" s="1"/>
  <c r="U84" i="5" s="1"/>
  <c r="J79" i="5"/>
  <c r="O79" i="5" s="1"/>
  <c r="Q79" i="5" s="1"/>
  <c r="J30" i="5"/>
  <c r="O30" i="5" s="1"/>
  <c r="Q30" i="5" s="1"/>
  <c r="L76" i="5"/>
  <c r="R76" i="5" s="1"/>
  <c r="U76" i="5" s="1"/>
  <c r="M76" i="5"/>
  <c r="N76" i="5" s="1"/>
  <c r="P76" i="5" s="1"/>
  <c r="K76" i="5"/>
  <c r="S76" i="5" s="1"/>
  <c r="V76" i="5" s="1"/>
  <c r="J76" i="5"/>
  <c r="O76" i="5" s="1"/>
  <c r="Q76" i="5" s="1"/>
  <c r="K25" i="5"/>
  <c r="S25" i="5" s="1"/>
  <c r="V25" i="5" s="1"/>
  <c r="M65" i="5"/>
  <c r="N65" i="5" s="1"/>
  <c r="P65" i="5" s="1"/>
  <c r="L65" i="5"/>
  <c r="R65" i="5" s="1"/>
  <c r="U65" i="5" s="1"/>
  <c r="K65" i="5"/>
  <c r="S65" i="5" s="1"/>
  <c r="V65" i="5" s="1"/>
  <c r="M68" i="5"/>
  <c r="N68" i="5" s="1"/>
  <c r="P68" i="5" s="1"/>
  <c r="L68" i="5"/>
  <c r="R68" i="5" s="1"/>
  <c r="U68" i="5" s="1"/>
  <c r="K68" i="5"/>
  <c r="S68" i="5" s="1"/>
  <c r="V68" i="5" s="1"/>
  <c r="J68" i="5"/>
  <c r="O68" i="5" s="1"/>
  <c r="Q68" i="5" s="1"/>
  <c r="M25" i="5"/>
  <c r="N25" i="5" s="1"/>
  <c r="P25" i="5" s="1"/>
  <c r="L25" i="5"/>
  <c r="R25" i="5" s="1"/>
  <c r="U25" i="5" s="1"/>
  <c r="M7" i="5"/>
  <c r="N7" i="5" s="1"/>
  <c r="P7" i="5" s="1"/>
  <c r="L7" i="5"/>
  <c r="R7" i="5" s="1"/>
  <c r="U7" i="5" s="1"/>
  <c r="K7" i="5"/>
  <c r="S7" i="5" s="1"/>
  <c r="V7" i="5" s="1"/>
  <c r="K6" i="5"/>
  <c r="S6" i="5" s="1"/>
  <c r="V6" i="5" s="1"/>
  <c r="M6" i="5"/>
  <c r="N6" i="5" s="1"/>
  <c r="P6" i="5" s="1"/>
  <c r="L6" i="5"/>
  <c r="R6" i="5" s="1"/>
  <c r="U6" i="5" s="1"/>
  <c r="M52" i="5"/>
  <c r="N52" i="5" s="1"/>
  <c r="P52" i="5" s="1"/>
  <c r="L52" i="5"/>
  <c r="R52" i="5" s="1"/>
  <c r="U52" i="5" s="1"/>
  <c r="K52" i="5"/>
  <c r="S52" i="5" s="1"/>
  <c r="V52" i="5" s="1"/>
  <c r="M43" i="5"/>
  <c r="N43" i="5" s="1"/>
  <c r="P43" i="5" s="1"/>
  <c r="J66" i="5"/>
  <c r="O66" i="5" s="1"/>
  <c r="Q66" i="5" s="1"/>
  <c r="M66" i="5"/>
  <c r="N66" i="5" s="1"/>
  <c r="P66" i="5" s="1"/>
  <c r="L66" i="5"/>
  <c r="R66" i="5" s="1"/>
  <c r="U66" i="5" s="1"/>
  <c r="K66" i="5"/>
  <c r="S66" i="5" s="1"/>
  <c r="V66" i="5" s="1"/>
  <c r="K29" i="5"/>
  <c r="S29" i="5" s="1"/>
  <c r="V29" i="5" s="1"/>
  <c r="J29" i="5"/>
  <c r="O29" i="5" s="1"/>
  <c r="Q29" i="5" s="1"/>
  <c r="L29" i="5"/>
  <c r="R29" i="5" s="1"/>
  <c r="U29" i="5" s="1"/>
  <c r="M29" i="5"/>
  <c r="N29" i="5" s="1"/>
  <c r="P29" i="5" s="1"/>
  <c r="M10" i="5"/>
  <c r="N10" i="5" s="1"/>
  <c r="P10" i="5" s="1"/>
  <c r="L10" i="5"/>
  <c r="R10" i="5" s="1"/>
  <c r="U10" i="5" s="1"/>
  <c r="K10" i="5"/>
  <c r="S10" i="5" s="1"/>
  <c r="V10" i="5" s="1"/>
  <c r="J10" i="5"/>
  <c r="O10" i="5" s="1"/>
  <c r="Q10" i="5" s="1"/>
  <c r="J21" i="5"/>
  <c r="O21" i="5" s="1"/>
  <c r="Q21" i="5" s="1"/>
  <c r="M75" i="5"/>
  <c r="N75" i="5" s="1"/>
  <c r="P75" i="5" s="1"/>
  <c r="L75" i="5"/>
  <c r="R75" i="5" s="1"/>
  <c r="U75" i="5" s="1"/>
  <c r="J75" i="5"/>
  <c r="O75" i="5" s="1"/>
  <c r="Q75" i="5" s="1"/>
  <c r="M13" i="5"/>
  <c r="N13" i="5" s="1"/>
  <c r="P13" i="5" s="1"/>
  <c r="L13" i="5"/>
  <c r="R13" i="5" s="1"/>
  <c r="U13" i="5" s="1"/>
  <c r="K13" i="5"/>
  <c r="S13" i="5" s="1"/>
  <c r="V13" i="5" s="1"/>
  <c r="K21" i="5"/>
  <c r="S21" i="5" s="1"/>
  <c r="V21" i="5" s="1"/>
  <c r="J13" i="5"/>
  <c r="O13" i="5" s="1"/>
  <c r="Q13" i="5" s="1"/>
  <c r="L21" i="5"/>
  <c r="R21" i="5" s="1"/>
  <c r="U21" i="5" s="1"/>
  <c r="L56" i="5"/>
  <c r="R56" i="5" s="1"/>
  <c r="U56" i="5" s="1"/>
  <c r="K56" i="5"/>
  <c r="S56" i="5" s="1"/>
  <c r="V56" i="5" s="1"/>
  <c r="J56" i="5"/>
  <c r="O56" i="5" s="1"/>
  <c r="Q56" i="5" s="1"/>
  <c r="M56" i="5"/>
  <c r="N56" i="5" s="1"/>
  <c r="P56" i="5" s="1"/>
  <c r="M39" i="5"/>
  <c r="N39" i="5" s="1"/>
  <c r="P39" i="5" s="1"/>
  <c r="J39" i="5"/>
  <c r="O39" i="5" s="1"/>
  <c r="Q39" i="5" s="1"/>
  <c r="M48" i="5"/>
  <c r="N48" i="5" s="1"/>
  <c r="P48" i="5" s="1"/>
  <c r="L48" i="5"/>
  <c r="R48" i="5" s="1"/>
  <c r="U48" i="5" s="1"/>
  <c r="J88" i="5"/>
  <c r="O88" i="5" s="1"/>
  <c r="Q88" i="5" s="1"/>
  <c r="L14" i="5"/>
  <c r="R14" i="5" s="1"/>
  <c r="U14" i="5" s="1"/>
  <c r="K14" i="5"/>
  <c r="S14" i="5" s="1"/>
  <c r="V14" i="5" s="1"/>
  <c r="J14" i="5"/>
  <c r="O14" i="5" s="1"/>
  <c r="Q14" i="5" s="1"/>
  <c r="M34" i="5"/>
  <c r="N34" i="5" s="1"/>
  <c r="P34" i="5" s="1"/>
  <c r="L34" i="5"/>
  <c r="R34" i="5" s="1"/>
  <c r="U34" i="5" s="1"/>
  <c r="J48" i="5"/>
  <c r="O48" i="5" s="1"/>
  <c r="Q48" i="5" s="1"/>
  <c r="M60" i="5"/>
  <c r="N60" i="5" s="1"/>
  <c r="P60" i="5" s="1"/>
  <c r="K60" i="5"/>
  <c r="S60" i="5" s="1"/>
  <c r="V60" i="5" s="1"/>
  <c r="K88" i="5"/>
  <c r="S88" i="5" s="1"/>
  <c r="V88" i="5" s="1"/>
  <c r="M14" i="5"/>
  <c r="N14" i="5" s="1"/>
  <c r="P14" i="5" s="1"/>
  <c r="J34" i="5"/>
  <c r="O34" i="5" s="1"/>
  <c r="Q34" i="5" s="1"/>
  <c r="K48" i="5"/>
  <c r="S48" i="5" s="1"/>
  <c r="V48" i="5" s="1"/>
  <c r="J60" i="5"/>
  <c r="O60" i="5" s="1"/>
  <c r="Q60" i="5" s="1"/>
  <c r="L78" i="5"/>
  <c r="R78" i="5" s="1"/>
  <c r="U78" i="5" s="1"/>
  <c r="K78" i="5"/>
  <c r="S78" i="5" s="1"/>
  <c r="V78" i="5" s="1"/>
  <c r="M88" i="5"/>
  <c r="N88" i="5" s="1"/>
  <c r="P88" i="5" s="1"/>
  <c r="J7" i="5"/>
  <c r="O7" i="5" s="1"/>
  <c r="Q7" i="5" s="1"/>
  <c r="M38" i="5"/>
  <c r="N38" i="5" s="1"/>
  <c r="P38" i="5" s="1"/>
  <c r="L38" i="5"/>
  <c r="R38" i="5" s="1"/>
  <c r="U38" i="5" s="1"/>
  <c r="K38" i="5"/>
  <c r="S38" i="5" s="1"/>
  <c r="V38" i="5" s="1"/>
  <c r="L62" i="5"/>
  <c r="R62" i="5" s="1"/>
  <c r="U62" i="5" s="1"/>
  <c r="M62" i="5"/>
  <c r="N62" i="5" s="1"/>
  <c r="P62" i="5" s="1"/>
  <c r="K62" i="5"/>
  <c r="S62" i="5" s="1"/>
  <c r="V62" i="5" s="1"/>
  <c r="M69" i="5"/>
  <c r="N69" i="5" s="1"/>
  <c r="P69" i="5" s="1"/>
  <c r="L69" i="5"/>
  <c r="R69" i="5" s="1"/>
  <c r="U69" i="5" s="1"/>
  <c r="K69" i="5"/>
  <c r="S69" i="5" s="1"/>
  <c r="V69" i="5" s="1"/>
  <c r="L20" i="5"/>
  <c r="R20" i="5" s="1"/>
  <c r="U20" i="5" s="1"/>
  <c r="M20" i="5"/>
  <c r="N20" i="5" s="1"/>
  <c r="P20" i="5" s="1"/>
  <c r="J38" i="5"/>
  <c r="O38" i="5" s="1"/>
  <c r="Q38" i="5" s="1"/>
  <c r="L42" i="5"/>
  <c r="R42" i="5" s="1"/>
  <c r="U42" i="5" s="1"/>
  <c r="K42" i="5"/>
  <c r="S42" i="5" s="1"/>
  <c r="V42" i="5" s="1"/>
  <c r="J42" i="5"/>
  <c r="O42" i="5" s="1"/>
  <c r="Q42" i="5" s="1"/>
  <c r="J62" i="5"/>
  <c r="O62" i="5" s="1"/>
  <c r="Q62" i="5" s="1"/>
  <c r="J69" i="5"/>
  <c r="O69" i="5" s="1"/>
  <c r="Q69" i="5" s="1"/>
  <c r="J20" i="5"/>
  <c r="O20" i="5" s="1"/>
  <c r="Q20" i="5" s="1"/>
  <c r="M42" i="5"/>
  <c r="N42" i="5" s="1"/>
  <c r="P42" i="5" s="1"/>
  <c r="J49" i="5"/>
  <c r="O49" i="5" s="1"/>
  <c r="Q49" i="5" s="1"/>
  <c r="K71" i="5"/>
  <c r="S71" i="5" s="1"/>
  <c r="V71" i="5" s="1"/>
  <c r="M24" i="5"/>
  <c r="N24" i="5" s="1"/>
  <c r="P24" i="5" s="1"/>
  <c r="L24" i="5"/>
  <c r="R24" i="5" s="1"/>
  <c r="U24" i="5" s="1"/>
  <c r="K20" i="5"/>
  <c r="S20" i="5" s="1"/>
  <c r="V20" i="5" s="1"/>
  <c r="J24" i="5"/>
  <c r="O24" i="5" s="1"/>
  <c r="Q24" i="5" s="1"/>
  <c r="K49" i="5"/>
  <c r="S49" i="5" s="1"/>
  <c r="V49" i="5" s="1"/>
  <c r="M51" i="5"/>
  <c r="N51" i="5" s="1"/>
  <c r="P51" i="5" s="1"/>
  <c r="L51" i="5"/>
  <c r="R51" i="5" s="1"/>
  <c r="U51" i="5" s="1"/>
  <c r="L71" i="5"/>
  <c r="R71" i="5" s="1"/>
  <c r="U71" i="5" s="1"/>
  <c r="M81" i="5"/>
  <c r="N81" i="5" s="1"/>
  <c r="P81" i="5" s="1"/>
  <c r="L81" i="5"/>
  <c r="R81" i="5" s="1"/>
  <c r="U81" i="5" s="1"/>
  <c r="K9" i="5"/>
  <c r="S9" i="5" s="1"/>
  <c r="V9" i="5" s="1"/>
  <c r="M9" i="5"/>
  <c r="N9" i="5" s="1"/>
  <c r="P9" i="5" s="1"/>
  <c r="K24" i="5"/>
  <c r="S24" i="5" s="1"/>
  <c r="V24" i="5" s="1"/>
  <c r="L28" i="5"/>
  <c r="R28" i="5" s="1"/>
  <c r="U28" i="5" s="1"/>
  <c r="K28" i="5"/>
  <c r="S28" i="5" s="1"/>
  <c r="V28" i="5" s="1"/>
  <c r="J28" i="5"/>
  <c r="O28" i="5" s="1"/>
  <c r="Q28" i="5" s="1"/>
  <c r="L49" i="5"/>
  <c r="R49" i="5" s="1"/>
  <c r="U49" i="5" s="1"/>
  <c r="J51" i="5"/>
  <c r="O51" i="5" s="1"/>
  <c r="Q51" i="5" s="1"/>
  <c r="M55" i="5"/>
  <c r="N55" i="5" s="1"/>
  <c r="P55" i="5" s="1"/>
  <c r="L55" i="5"/>
  <c r="R55" i="5" s="1"/>
  <c r="U55" i="5" s="1"/>
  <c r="K55" i="5"/>
  <c r="S55" i="5" s="1"/>
  <c r="V55" i="5" s="1"/>
  <c r="J63" i="5"/>
  <c r="O63" i="5" s="1"/>
  <c r="Q63" i="5" s="1"/>
  <c r="J81" i="5"/>
  <c r="O81" i="5" s="1"/>
  <c r="Q81" i="5" s="1"/>
  <c r="K75" i="5"/>
  <c r="S75" i="5" s="1"/>
  <c r="V75" i="5" s="1"/>
  <c r="M83" i="5"/>
  <c r="N83" i="5" s="1"/>
  <c r="P83" i="5" s="1"/>
  <c r="L83" i="5"/>
  <c r="R83" i="5" s="1"/>
  <c r="U83" i="5" s="1"/>
  <c r="K83" i="5"/>
  <c r="S83" i="5" s="1"/>
  <c r="V83" i="5" s="1"/>
  <c r="J83" i="5"/>
  <c r="O83" i="5" s="1"/>
  <c r="Q83" i="5" s="1"/>
  <c r="J19" i="5"/>
  <c r="O19" i="5" s="1"/>
  <c r="Q19" i="5" s="1"/>
  <c r="L23" i="5"/>
  <c r="R23" i="5" s="1"/>
  <c r="U23" i="5" s="1"/>
  <c r="M27" i="5"/>
  <c r="N27" i="5" s="1"/>
  <c r="P27" i="5" s="1"/>
  <c r="L27" i="5"/>
  <c r="R27" i="5" s="1"/>
  <c r="U27" i="5" s="1"/>
  <c r="K27" i="5"/>
  <c r="S27" i="5" s="1"/>
  <c r="V27" i="5" s="1"/>
  <c r="L33" i="5"/>
  <c r="R33" i="5" s="1"/>
  <c r="U33" i="5" s="1"/>
  <c r="L37" i="5"/>
  <c r="R37" i="5" s="1"/>
  <c r="U37" i="5" s="1"/>
  <c r="M41" i="5"/>
  <c r="N41" i="5" s="1"/>
  <c r="P41" i="5" s="1"/>
  <c r="L41" i="5"/>
  <c r="R41" i="5" s="1"/>
  <c r="U41" i="5" s="1"/>
  <c r="K41" i="5"/>
  <c r="S41" i="5" s="1"/>
  <c r="V41" i="5" s="1"/>
  <c r="L47" i="5"/>
  <c r="R47" i="5" s="1"/>
  <c r="U47" i="5" s="1"/>
  <c r="K47" i="5"/>
  <c r="S47" i="5" s="1"/>
  <c r="V47" i="5" s="1"/>
  <c r="M54" i="5"/>
  <c r="N54" i="5" s="1"/>
  <c r="P54" i="5" s="1"/>
  <c r="L54" i="5"/>
  <c r="R54" i="5" s="1"/>
  <c r="U54" i="5" s="1"/>
  <c r="K54" i="5"/>
  <c r="S54" i="5" s="1"/>
  <c r="V54" i="5" s="1"/>
  <c r="M80" i="5"/>
  <c r="N80" i="5" s="1"/>
  <c r="P80" i="5" s="1"/>
  <c r="L80" i="5"/>
  <c r="R80" i="5" s="1"/>
  <c r="U80" i="5" s="1"/>
  <c r="J80" i="5"/>
  <c r="O80" i="5" s="1"/>
  <c r="Q80" i="5" s="1"/>
  <c r="K89" i="5"/>
  <c r="S89" i="5" s="1"/>
  <c r="V89" i="5" s="1"/>
  <c r="M89" i="5"/>
  <c r="N89" i="5" s="1"/>
  <c r="P89" i="5" s="1"/>
  <c r="L89" i="5"/>
  <c r="R89" i="5" s="1"/>
  <c r="U89" i="5" s="1"/>
  <c r="M12" i="5"/>
  <c r="N12" i="5" s="1"/>
  <c r="P12" i="5" s="1"/>
  <c r="L12" i="5"/>
  <c r="R12" i="5" s="1"/>
  <c r="U12" i="5" s="1"/>
  <c r="K12" i="5"/>
  <c r="S12" i="5" s="1"/>
  <c r="V12" i="5" s="1"/>
  <c r="K19" i="5"/>
  <c r="S19" i="5" s="1"/>
  <c r="V19" i="5" s="1"/>
  <c r="J23" i="5"/>
  <c r="O23" i="5" s="1"/>
  <c r="Q23" i="5" s="1"/>
  <c r="J27" i="5"/>
  <c r="O27" i="5" s="1"/>
  <c r="Q27" i="5" s="1"/>
  <c r="J33" i="5"/>
  <c r="O33" i="5" s="1"/>
  <c r="Q33" i="5" s="1"/>
  <c r="J37" i="5"/>
  <c r="O37" i="5" s="1"/>
  <c r="Q37" i="5" s="1"/>
  <c r="J41" i="5"/>
  <c r="O41" i="5" s="1"/>
  <c r="Q41" i="5" s="1"/>
  <c r="J47" i="5"/>
  <c r="O47" i="5" s="1"/>
  <c r="Q47" i="5" s="1"/>
  <c r="L50" i="5"/>
  <c r="R50" i="5" s="1"/>
  <c r="U50" i="5" s="1"/>
  <c r="J54" i="5"/>
  <c r="O54" i="5" s="1"/>
  <c r="Q54" i="5" s="1"/>
  <c r="K57" i="5"/>
  <c r="S57" i="5" s="1"/>
  <c r="V57" i="5" s="1"/>
  <c r="L61" i="5"/>
  <c r="R61" i="5" s="1"/>
  <c r="U61" i="5" s="1"/>
  <c r="K80" i="5"/>
  <c r="S80" i="5" s="1"/>
  <c r="V80" i="5" s="1"/>
  <c r="J89" i="5"/>
  <c r="O89" i="5" s="1"/>
  <c r="Q89" i="5" s="1"/>
  <c r="J12" i="5"/>
  <c r="O12" i="5" s="1"/>
  <c r="Q12" i="5" s="1"/>
  <c r="L19" i="5"/>
  <c r="R19" i="5" s="1"/>
  <c r="U19" i="5" s="1"/>
  <c r="K23" i="5"/>
  <c r="S23" i="5" s="1"/>
  <c r="V23" i="5" s="1"/>
  <c r="K33" i="5"/>
  <c r="S33" i="5" s="1"/>
  <c r="V33" i="5" s="1"/>
  <c r="K37" i="5"/>
  <c r="S37" i="5" s="1"/>
  <c r="V37" i="5" s="1"/>
  <c r="M47" i="5"/>
  <c r="N47" i="5" s="1"/>
  <c r="P47" i="5" s="1"/>
  <c r="J50" i="5"/>
  <c r="O50" i="5" s="1"/>
  <c r="Q50" i="5" s="1"/>
  <c r="L57" i="5"/>
  <c r="R57" i="5" s="1"/>
  <c r="U57" i="5" s="1"/>
  <c r="J61" i="5"/>
  <c r="O61" i="5" s="1"/>
  <c r="Q61" i="5" s="1"/>
  <c r="L64" i="5"/>
  <c r="R64" i="5" s="1"/>
  <c r="U64" i="5" s="1"/>
  <c r="K64" i="5"/>
  <c r="S64" i="5" s="1"/>
  <c r="V64" i="5" s="1"/>
  <c r="M67" i="5"/>
  <c r="N67" i="5" s="1"/>
  <c r="P67" i="5" s="1"/>
  <c r="L67" i="5"/>
  <c r="R67" i="5" s="1"/>
  <c r="U67" i="5" s="1"/>
  <c r="J67" i="5"/>
  <c r="O67" i="5" s="1"/>
  <c r="Q67" i="5" s="1"/>
  <c r="M19" i="5"/>
  <c r="N19" i="5" s="1"/>
  <c r="P19" i="5" s="1"/>
  <c r="M23" i="5"/>
  <c r="N23" i="5" s="1"/>
  <c r="P23" i="5" s="1"/>
  <c r="M33" i="5"/>
  <c r="N33" i="5" s="1"/>
  <c r="P33" i="5" s="1"/>
  <c r="M37" i="5"/>
  <c r="N37" i="5" s="1"/>
  <c r="P37" i="5" s="1"/>
  <c r="K50" i="5"/>
  <c r="S50" i="5" s="1"/>
  <c r="V50" i="5" s="1"/>
  <c r="K61" i="5"/>
  <c r="S61" i="5" s="1"/>
  <c r="V61" i="5" s="1"/>
  <c r="J64" i="5"/>
  <c r="O64" i="5" s="1"/>
  <c r="Q64" i="5" s="1"/>
  <c r="K67" i="5"/>
  <c r="S67" i="5" s="1"/>
  <c r="V67" i="5" s="1"/>
  <c r="K15" i="5"/>
  <c r="S15" i="5" s="1"/>
  <c r="V15" i="5" s="1"/>
  <c r="J15" i="5"/>
  <c r="O15" i="5" s="1"/>
  <c r="Q15" i="5" s="1"/>
  <c r="J22" i="5"/>
  <c r="O22" i="5" s="1"/>
  <c r="Q22" i="5" s="1"/>
  <c r="M26" i="5"/>
  <c r="N26" i="5" s="1"/>
  <c r="P26" i="5" s="1"/>
  <c r="L26" i="5"/>
  <c r="R26" i="5" s="1"/>
  <c r="U26" i="5" s="1"/>
  <c r="J26" i="5"/>
  <c r="O26" i="5" s="1"/>
  <c r="Q26" i="5" s="1"/>
  <c r="J32" i="5"/>
  <c r="O32" i="5" s="1"/>
  <c r="Q32" i="5" s="1"/>
  <c r="J36" i="5"/>
  <c r="O36" i="5" s="1"/>
  <c r="Q36" i="5" s="1"/>
  <c r="M40" i="5"/>
  <c r="N40" i="5" s="1"/>
  <c r="P40" i="5" s="1"/>
  <c r="L40" i="5"/>
  <c r="R40" i="5" s="1"/>
  <c r="U40" i="5" s="1"/>
  <c r="K46" i="5"/>
  <c r="S46" i="5" s="1"/>
  <c r="V46" i="5" s="1"/>
  <c r="J46" i="5"/>
  <c r="O46" i="5" s="1"/>
  <c r="Q46" i="5" s="1"/>
  <c r="M50" i="5"/>
  <c r="N50" i="5" s="1"/>
  <c r="P50" i="5" s="1"/>
  <c r="M61" i="5"/>
  <c r="N61" i="5" s="1"/>
  <c r="P61" i="5" s="1"/>
  <c r="M64" i="5"/>
  <c r="N64" i="5" s="1"/>
  <c r="P64" i="5" s="1"/>
  <c r="M11" i="5"/>
  <c r="N11" i="5" s="1"/>
  <c r="P11" i="5" s="1"/>
  <c r="K43" i="5"/>
  <c r="S43" i="5" s="1"/>
  <c r="V43" i="5" s="1"/>
  <c r="M53" i="5"/>
  <c r="N53" i="5" s="1"/>
  <c r="P53" i="5" s="1"/>
  <c r="L70" i="5"/>
  <c r="R70" i="5" s="1"/>
  <c r="U70" i="5" s="1"/>
  <c r="K70" i="5"/>
  <c r="S70" i="5" s="1"/>
  <c r="V70" i="5" s="1"/>
  <c r="J70" i="5"/>
  <c r="O70" i="5" s="1"/>
  <c r="Q70" i="5" s="1"/>
  <c r="M82" i="5"/>
  <c r="N82" i="5" s="1"/>
  <c r="P82" i="5" s="1"/>
  <c r="L82" i="5"/>
  <c r="R82" i="5" s="1"/>
  <c r="U82" i="5" s="1"/>
  <c r="K82" i="5"/>
  <c r="S82" i="5" s="1"/>
  <c r="V82" i="5" s="1"/>
  <c r="J53" i="5"/>
  <c r="O53" i="5" s="1"/>
  <c r="Q53" i="5" s="1"/>
  <c r="M70" i="5"/>
  <c r="N70" i="5" s="1"/>
  <c r="P70" i="5" s="1"/>
  <c r="J82" i="5"/>
  <c r="O82" i="5" s="1"/>
  <c r="Q82" i="5" s="1"/>
  <c r="J84" i="5"/>
  <c r="O84" i="5" s="1"/>
  <c r="Q84" i="5" s="1"/>
  <c r="J43" i="5"/>
  <c r="O43" i="5" s="1"/>
  <c r="Q43" i="5" s="1"/>
  <c r="J57" i="5"/>
  <c r="O57" i="5" s="1"/>
  <c r="Q57" i="5" s="1"/>
  <c r="J71" i="5"/>
  <c r="O71" i="5" s="1"/>
  <c r="Q71" i="5" s="1"/>
  <c r="K84" i="5"/>
  <c r="S84" i="5" s="1"/>
  <c r="V84" i="5" s="1"/>
  <c r="J85" i="5"/>
  <c r="O85" i="5" s="1"/>
  <c r="Q85" i="5" s="1"/>
  <c r="R83" i="4"/>
  <c r="U83" i="4" s="1"/>
  <c r="O7" i="4"/>
  <c r="Q7" i="4" s="1"/>
  <c r="R49" i="4"/>
  <c r="U49" i="4" s="1"/>
  <c r="S19" i="4"/>
  <c r="V19" i="4" s="1"/>
  <c r="S83" i="4"/>
  <c r="V83" i="4" s="1"/>
  <c r="R79" i="4"/>
  <c r="U79" i="4" s="1"/>
  <c r="R20" i="4"/>
  <c r="U20" i="4" s="1"/>
  <c r="N11" i="4"/>
  <c r="P11" i="4" s="1"/>
  <c r="S54" i="4"/>
  <c r="V54" i="4" s="1"/>
  <c r="R71" i="4"/>
  <c r="U71" i="4" s="1"/>
  <c r="N13" i="4"/>
  <c r="P13" i="4" s="1"/>
  <c r="R47" i="4"/>
  <c r="U47" i="4" s="1"/>
  <c r="R75" i="4"/>
  <c r="U75" i="4" s="1"/>
  <c r="N39" i="4"/>
  <c r="P39" i="4" s="1"/>
  <c r="N26" i="4"/>
  <c r="P26" i="4" s="1"/>
  <c r="R70" i="4"/>
  <c r="U70" i="4" s="1"/>
  <c r="O19" i="4"/>
  <c r="Q19" i="4" s="1"/>
  <c r="N12" i="4"/>
  <c r="P12" i="4" s="1"/>
  <c r="N24" i="4"/>
  <c r="P24" i="4" s="1"/>
  <c r="R88" i="4"/>
  <c r="U88" i="4" s="1"/>
  <c r="N28" i="4"/>
  <c r="P28" i="4" s="1"/>
  <c r="R85" i="4"/>
  <c r="U85" i="4" s="1"/>
  <c r="O27" i="4"/>
  <c r="Q27" i="4" s="1"/>
  <c r="S49" i="4"/>
  <c r="V49" i="4" s="1"/>
  <c r="R27" i="4"/>
  <c r="U27" i="4" s="1"/>
  <c r="N27" i="4"/>
  <c r="P27" i="4" s="1"/>
  <c r="N41" i="4"/>
  <c r="P41" i="4" s="1"/>
  <c r="O15" i="4"/>
  <c r="Q15" i="4" s="1"/>
  <c r="O32" i="4"/>
  <c r="Q32" i="4" s="1"/>
  <c r="R72" i="4"/>
  <c r="U72" i="4" s="1"/>
  <c r="O13" i="4"/>
  <c r="Q13" i="4" s="1"/>
  <c r="S13" i="4"/>
  <c r="V13" i="4" s="1"/>
  <c r="S39" i="4"/>
  <c r="V39" i="4" s="1"/>
  <c r="S27" i="4"/>
  <c r="V27" i="4" s="1"/>
  <c r="K7" i="4"/>
  <c r="S7" i="4" s="1"/>
  <c r="V7" i="4" s="1"/>
  <c r="R13" i="4"/>
  <c r="U13" i="4" s="1"/>
  <c r="N25" i="4"/>
  <c r="P25" i="4" s="1"/>
  <c r="O30" i="4"/>
  <c r="Q30" i="4" s="1"/>
  <c r="S35" i="4"/>
  <c r="V35" i="4" s="1"/>
  <c r="R46" i="4"/>
  <c r="U46" i="4" s="1"/>
  <c r="R68" i="4"/>
  <c r="U68" i="4" s="1"/>
  <c r="S41" i="4"/>
  <c r="V41" i="4" s="1"/>
  <c r="S88" i="4"/>
  <c r="V88" i="4" s="1"/>
  <c r="S82" i="4"/>
  <c r="V82" i="4" s="1"/>
  <c r="S84" i="4"/>
  <c r="V84" i="4" s="1"/>
  <c r="S43" i="4"/>
  <c r="V43" i="4" s="1"/>
  <c r="N16" i="4"/>
  <c r="P16" i="4" s="1"/>
  <c r="O26" i="4"/>
  <c r="Q26" i="4" s="1"/>
  <c r="R30" i="4"/>
  <c r="U30" i="4" s="1"/>
  <c r="S57" i="4"/>
  <c r="V57" i="4" s="1"/>
  <c r="R41" i="4"/>
  <c r="U41" i="4" s="1"/>
  <c r="R48" i="4"/>
  <c r="U48" i="4" s="1"/>
  <c r="R62" i="4"/>
  <c r="U62" i="4" s="1"/>
  <c r="O14" i="4"/>
  <c r="Q14" i="4" s="1"/>
  <c r="R39" i="4"/>
  <c r="U39" i="4" s="1"/>
  <c r="R69" i="4"/>
  <c r="U69" i="4" s="1"/>
  <c r="S12" i="4"/>
  <c r="V12" i="4" s="1"/>
  <c r="S21" i="4"/>
  <c r="V21" i="4" s="1"/>
  <c r="R25" i="4"/>
  <c r="U25" i="4" s="1"/>
  <c r="R55" i="4"/>
  <c r="U55" i="4" s="1"/>
  <c r="R74" i="4"/>
  <c r="U74" i="4" s="1"/>
  <c r="S30" i="4"/>
  <c r="V30" i="4" s="1"/>
  <c r="S64" i="4"/>
  <c r="V64" i="4" s="1"/>
  <c r="O41" i="4"/>
  <c r="Q41" i="4" s="1"/>
  <c r="R43" i="4"/>
  <c r="U43" i="4" s="1"/>
  <c r="S50" i="4"/>
  <c r="V50" i="4" s="1"/>
  <c r="S52" i="4"/>
  <c r="V52" i="4" s="1"/>
  <c r="R64" i="4"/>
  <c r="U64" i="4" s="1"/>
  <c r="S71" i="4"/>
  <c r="V71" i="4" s="1"/>
  <c r="S26" i="4"/>
  <c r="V26" i="4" s="1"/>
  <c r="R50" i="4"/>
  <c r="U50" i="4" s="1"/>
  <c r="R26" i="4"/>
  <c r="U26" i="4" s="1"/>
  <c r="R57" i="4"/>
  <c r="U57" i="4" s="1"/>
  <c r="O12" i="4"/>
  <c r="Q12" i="4" s="1"/>
  <c r="O17" i="4"/>
  <c r="Q17" i="4" s="1"/>
  <c r="R86" i="4"/>
  <c r="U86" i="4" s="1"/>
  <c r="R12" i="4"/>
  <c r="U12" i="4" s="1"/>
  <c r="S18" i="4"/>
  <c r="V18" i="4" s="1"/>
  <c r="N33" i="4"/>
  <c r="P33" i="4" s="1"/>
  <c r="S15" i="4"/>
  <c r="V15" i="4" s="1"/>
  <c r="S32" i="4"/>
  <c r="V32" i="4" s="1"/>
  <c r="O40" i="4"/>
  <c r="Q40" i="4" s="1"/>
  <c r="S42" i="4"/>
  <c r="V42" i="4" s="1"/>
  <c r="R65" i="4"/>
  <c r="U65" i="4" s="1"/>
  <c r="R67" i="4"/>
  <c r="U67" i="4" s="1"/>
  <c r="R77" i="4"/>
  <c r="U77" i="4" s="1"/>
  <c r="S85" i="4"/>
  <c r="V85" i="4" s="1"/>
  <c r="R89" i="4"/>
  <c r="U89" i="4" s="1"/>
  <c r="S78" i="4"/>
  <c r="V78" i="4" s="1"/>
  <c r="R78" i="4"/>
  <c r="U78" i="4" s="1"/>
  <c r="R15" i="4"/>
  <c r="U15" i="4" s="1"/>
  <c r="R32" i="4"/>
  <c r="U32" i="4" s="1"/>
  <c r="S40" i="4"/>
  <c r="V40" i="4" s="1"/>
  <c r="R42" i="4"/>
  <c r="U42" i="4" s="1"/>
  <c r="R58" i="4"/>
  <c r="U58" i="4" s="1"/>
  <c r="R63" i="4"/>
  <c r="U63" i="4" s="1"/>
  <c r="S70" i="4"/>
  <c r="V70" i="4" s="1"/>
  <c r="S45" i="4"/>
  <c r="V45" i="4" s="1"/>
  <c r="N15" i="4"/>
  <c r="P15" i="4" s="1"/>
  <c r="N32" i="4"/>
  <c r="P32" i="4" s="1"/>
  <c r="R40" i="4"/>
  <c r="U40" i="4" s="1"/>
  <c r="O8" i="4"/>
  <c r="Q8" i="4" s="1"/>
  <c r="R11" i="4"/>
  <c r="U11" i="4" s="1"/>
  <c r="N30" i="4"/>
  <c r="P30" i="4" s="1"/>
  <c r="N40" i="4"/>
  <c r="P40" i="4" s="1"/>
  <c r="S47" i="4"/>
  <c r="V47" i="4" s="1"/>
  <c r="S56" i="4"/>
  <c r="V56" i="4" s="1"/>
  <c r="S75" i="4"/>
  <c r="V75" i="4" s="1"/>
  <c r="O18" i="4"/>
  <c r="Q18" i="4" s="1"/>
  <c r="R18" i="4"/>
  <c r="U18" i="4" s="1"/>
  <c r="N23" i="4"/>
  <c r="P23" i="4" s="1"/>
  <c r="R23" i="4"/>
  <c r="U23" i="4" s="1"/>
  <c r="O23" i="4"/>
  <c r="Q23" i="4" s="1"/>
  <c r="S23" i="4"/>
  <c r="V23" i="4" s="1"/>
  <c r="S67" i="4"/>
  <c r="V67" i="4" s="1"/>
  <c r="R81" i="4"/>
  <c r="U81" i="4" s="1"/>
  <c r="S81" i="4"/>
  <c r="V81" i="4" s="1"/>
  <c r="N9" i="4"/>
  <c r="P9" i="4" s="1"/>
  <c r="R9" i="4"/>
  <c r="U9" i="4" s="1"/>
  <c r="S9" i="4"/>
  <c r="V9" i="4" s="1"/>
  <c r="O9" i="4"/>
  <c r="Q9" i="4" s="1"/>
  <c r="N19" i="4"/>
  <c r="P19" i="4" s="1"/>
  <c r="R19" i="4"/>
  <c r="U19" i="4" s="1"/>
  <c r="N34" i="4"/>
  <c r="P34" i="4" s="1"/>
  <c r="R34" i="4"/>
  <c r="U34" i="4" s="1"/>
  <c r="S34" i="4"/>
  <c r="V34" i="4" s="1"/>
  <c r="O34" i="4"/>
  <c r="Q34" i="4" s="1"/>
  <c r="S46" i="4"/>
  <c r="V46" i="4" s="1"/>
  <c r="R54" i="4"/>
  <c r="U54" i="4" s="1"/>
  <c r="M6" i="4"/>
  <c r="N6" i="4" s="1"/>
  <c r="P6" i="4" s="1"/>
  <c r="K6" i="4"/>
  <c r="S6" i="4" s="1"/>
  <c r="V6" i="4" s="1"/>
  <c r="O6" i="4"/>
  <c r="Q6" i="4" s="1"/>
  <c r="N22" i="4"/>
  <c r="P22" i="4" s="1"/>
  <c r="S22" i="4"/>
  <c r="V22" i="4" s="1"/>
  <c r="R22" i="4"/>
  <c r="U22" i="4" s="1"/>
  <c r="L6" i="4"/>
  <c r="R6" i="4" s="1"/>
  <c r="U6" i="4" s="1"/>
  <c r="R31" i="4"/>
  <c r="U31" i="4" s="1"/>
  <c r="S31" i="4"/>
  <c r="V31" i="4" s="1"/>
  <c r="R61" i="4"/>
  <c r="U61" i="4" s="1"/>
  <c r="S61" i="4"/>
  <c r="V61" i="4" s="1"/>
  <c r="S63" i="4"/>
  <c r="V63" i="4" s="1"/>
  <c r="N36" i="4"/>
  <c r="P36" i="4" s="1"/>
  <c r="R36" i="4"/>
  <c r="U36" i="4" s="1"/>
  <c r="S36" i="4"/>
  <c r="V36" i="4" s="1"/>
  <c r="N31" i="4"/>
  <c r="P31" i="4" s="1"/>
  <c r="O36" i="4"/>
  <c r="Q36" i="4" s="1"/>
  <c r="N18" i="4"/>
  <c r="P18" i="4" s="1"/>
  <c r="N29" i="4"/>
  <c r="P29" i="4" s="1"/>
  <c r="S77" i="4"/>
  <c r="V77" i="4" s="1"/>
  <c r="N14" i="4"/>
  <c r="P14" i="4" s="1"/>
  <c r="R14" i="4"/>
  <c r="U14" i="4" s="1"/>
  <c r="O31" i="4"/>
  <c r="Q31" i="4" s="1"/>
  <c r="S53" i="4"/>
  <c r="V53" i="4" s="1"/>
  <c r="R53" i="4"/>
  <c r="U53" i="4" s="1"/>
  <c r="R76" i="4"/>
  <c r="U76" i="4" s="1"/>
  <c r="S76" i="4"/>
  <c r="V76" i="4" s="1"/>
  <c r="R60" i="4"/>
  <c r="U60" i="4" s="1"/>
  <c r="S74" i="4"/>
  <c r="V74" i="4" s="1"/>
  <c r="S68" i="4"/>
  <c r="V68" i="4" s="1"/>
  <c r="O22" i="4"/>
  <c r="Q22" i="4" s="1"/>
  <c r="S14" i="4"/>
  <c r="V14" i="4" s="1"/>
  <c r="N17" i="4"/>
  <c r="P17" i="4" s="1"/>
  <c r="R17" i="4"/>
  <c r="U17" i="4" s="1"/>
  <c r="S17" i="4"/>
  <c r="V17" i="4" s="1"/>
  <c r="R80" i="4"/>
  <c r="U80" i="4" s="1"/>
  <c r="S80" i="4"/>
  <c r="V80" i="4" s="1"/>
  <c r="R35" i="4"/>
  <c r="U35" i="4" s="1"/>
  <c r="N35" i="4"/>
  <c r="P35" i="4" s="1"/>
  <c r="R10" i="4"/>
  <c r="U10" i="4" s="1"/>
  <c r="O35" i="4"/>
  <c r="Q35" i="4" s="1"/>
  <c r="R87" i="4"/>
  <c r="U87" i="4" s="1"/>
  <c r="S87" i="4"/>
  <c r="V87" i="4" s="1"/>
  <c r="S73" i="4"/>
  <c r="V73" i="4" s="1"/>
  <c r="R73" i="4"/>
  <c r="U73" i="4" s="1"/>
  <c r="S60" i="4"/>
  <c r="V60" i="4" s="1"/>
  <c r="S48" i="4"/>
  <c r="V48" i="4" s="1"/>
  <c r="R66" i="4"/>
  <c r="U66" i="4" s="1"/>
  <c r="S66" i="4"/>
  <c r="V66" i="4" s="1"/>
  <c r="S69" i="4"/>
  <c r="V69" i="4" s="1"/>
  <c r="S89" i="4"/>
  <c r="V89" i="4" s="1"/>
  <c r="O16" i="4"/>
  <c r="Q16" i="4" s="1"/>
  <c r="O28" i="4"/>
  <c r="Q28" i="4" s="1"/>
  <c r="R29" i="4"/>
  <c r="U29" i="4" s="1"/>
  <c r="O33" i="4"/>
  <c r="Q33" i="4" s="1"/>
  <c r="S55" i="4"/>
  <c r="V55" i="4" s="1"/>
  <c r="R59" i="4"/>
  <c r="U59" i="4" s="1"/>
  <c r="S16" i="4"/>
  <c r="V16" i="4" s="1"/>
  <c r="N20" i="4"/>
  <c r="P20" i="4" s="1"/>
  <c r="S28" i="4"/>
  <c r="V28" i="4" s="1"/>
  <c r="N37" i="4"/>
  <c r="P37" i="4" s="1"/>
  <c r="R37" i="4"/>
  <c r="U37" i="4" s="1"/>
  <c r="O37" i="4"/>
  <c r="Q37" i="4" s="1"/>
  <c r="S37" i="4"/>
  <c r="V37" i="4" s="1"/>
  <c r="S59" i="4"/>
  <c r="V59" i="4" s="1"/>
  <c r="S62" i="4"/>
  <c r="V62" i="4" s="1"/>
  <c r="R16" i="4"/>
  <c r="U16" i="4" s="1"/>
  <c r="O20" i="4"/>
  <c r="Q20" i="4" s="1"/>
  <c r="R28" i="4"/>
  <c r="U28" i="4" s="1"/>
  <c r="R33" i="4"/>
  <c r="U33" i="4" s="1"/>
  <c r="R44" i="4"/>
  <c r="U44" i="4" s="1"/>
  <c r="R82" i="4"/>
  <c r="U82" i="4" s="1"/>
  <c r="R21" i="4"/>
  <c r="U21" i="4" s="1"/>
  <c r="N21" i="4"/>
  <c r="P21" i="4" s="1"/>
  <c r="O29" i="4"/>
  <c r="Q29" i="4" s="1"/>
  <c r="R38" i="4"/>
  <c r="U38" i="4" s="1"/>
  <c r="R45" i="4"/>
  <c r="U45" i="4" s="1"/>
  <c r="O21" i="4"/>
  <c r="Q21" i="4" s="1"/>
  <c r="S29" i="4"/>
  <c r="V29" i="4" s="1"/>
  <c r="R52" i="4"/>
  <c r="U52" i="4" s="1"/>
  <c r="M8" i="4"/>
  <c r="N8" i="4" s="1"/>
  <c r="P8" i="4" s="1"/>
  <c r="L8" i="4"/>
  <c r="R8" i="4" s="1"/>
  <c r="U8" i="4" s="1"/>
  <c r="K8" i="4"/>
  <c r="S8" i="4" s="1"/>
  <c r="V8" i="4" s="1"/>
  <c r="S33" i="4"/>
  <c r="V33" i="4" s="1"/>
  <c r="M7" i="4"/>
  <c r="N7" i="4" s="1"/>
  <c r="P7" i="4" s="1"/>
  <c r="L7" i="4"/>
  <c r="R7" i="4" s="1"/>
  <c r="U7" i="4" s="1"/>
  <c r="S20" i="4"/>
  <c r="V20" i="4" s="1"/>
  <c r="R24" i="4"/>
  <c r="U24" i="4" s="1"/>
  <c r="R51" i="4"/>
  <c r="U51" i="4" s="1"/>
  <c r="O10" i="4"/>
  <c r="Q10" i="4" s="1"/>
  <c r="O24" i="4"/>
  <c r="Q24" i="4" s="1"/>
  <c r="O38" i="4"/>
  <c r="Q38" i="4" s="1"/>
  <c r="S44" i="4"/>
  <c r="V44" i="4" s="1"/>
  <c r="S51" i="4"/>
  <c r="V51" i="4" s="1"/>
  <c r="S58" i="4"/>
  <c r="V58" i="4" s="1"/>
  <c r="S65" i="4"/>
  <c r="V65" i="4" s="1"/>
  <c r="S72" i="4"/>
  <c r="V72" i="4" s="1"/>
  <c r="S79" i="4"/>
  <c r="V79" i="4" s="1"/>
  <c r="S86" i="4"/>
  <c r="V86" i="4" s="1"/>
  <c r="S10" i="4"/>
  <c r="V10" i="4" s="1"/>
  <c r="O11" i="4"/>
  <c r="Q11" i="4" s="1"/>
  <c r="S24" i="4"/>
  <c r="V24" i="4" s="1"/>
  <c r="O25" i="4"/>
  <c r="Q25" i="4" s="1"/>
  <c r="S38" i="4"/>
  <c r="V38" i="4" s="1"/>
  <c r="O39" i="4"/>
  <c r="Q39" i="4" s="1"/>
  <c r="L40" i="1"/>
  <c r="L42" i="1"/>
  <c r="R42" i="1" s="1"/>
  <c r="U42" i="1" s="1"/>
  <c r="L39" i="1"/>
  <c r="L38" i="1"/>
  <c r="M40" i="1"/>
  <c r="N40" i="1" s="1"/>
  <c r="P40" i="1" s="1"/>
  <c r="L70" i="1"/>
  <c r="R70" i="1" s="1"/>
  <c r="U70" i="1" s="1"/>
  <c r="L16" i="1"/>
  <c r="M38" i="1"/>
  <c r="K39" i="1"/>
  <c r="L63" i="1"/>
  <c r="R63" i="1" s="1"/>
  <c r="U63" i="1" s="1"/>
  <c r="K89" i="1"/>
  <c r="S89" i="1" s="1"/>
  <c r="V89" i="1" s="1"/>
  <c r="K12" i="1"/>
  <c r="L29" i="1"/>
  <c r="L14" i="1"/>
  <c r="R14" i="1" s="1"/>
  <c r="K11" i="1"/>
  <c r="L28" i="1"/>
  <c r="M31" i="1"/>
  <c r="K88" i="1"/>
  <c r="S88" i="1" s="1"/>
  <c r="V88" i="1" s="1"/>
  <c r="K25" i="1"/>
  <c r="K10" i="1"/>
  <c r="L12" i="1"/>
  <c r="K30" i="1"/>
  <c r="L56" i="1"/>
  <c r="R56" i="1" s="1"/>
  <c r="U56" i="1" s="1"/>
  <c r="L26" i="1"/>
  <c r="K23" i="1"/>
  <c r="K8" i="1"/>
  <c r="L25" i="1"/>
  <c r="L10" i="1"/>
  <c r="M11" i="1"/>
  <c r="K28" i="1"/>
  <c r="L84" i="1"/>
  <c r="R84" i="1" s="1"/>
  <c r="U84" i="1" s="1"/>
  <c r="K24" i="1"/>
  <c r="K6" i="1"/>
  <c r="L24" i="1"/>
  <c r="L9" i="1"/>
  <c r="K27" i="1"/>
  <c r="L86" i="1"/>
  <c r="R86" i="1" s="1"/>
  <c r="U86" i="1" s="1"/>
  <c r="L72" i="1"/>
  <c r="R72" i="1" s="1"/>
  <c r="U72" i="1" s="1"/>
  <c r="L58" i="1"/>
  <c r="R58" i="1" s="1"/>
  <c r="U58" i="1" s="1"/>
  <c r="L44" i="1"/>
  <c r="R44" i="1" s="1"/>
  <c r="U44" i="1" s="1"/>
  <c r="K9" i="1"/>
  <c r="L23" i="1"/>
  <c r="K26" i="1"/>
  <c r="K76" i="1"/>
  <c r="S76" i="1" s="1"/>
  <c r="V76" i="1" s="1"/>
  <c r="K62" i="1"/>
  <c r="S62" i="1" s="1"/>
  <c r="V62" i="1" s="1"/>
  <c r="K48" i="1"/>
  <c r="S48" i="1" s="1"/>
  <c r="V48" i="1" s="1"/>
  <c r="K75" i="1"/>
  <c r="S75" i="1" s="1"/>
  <c r="V75" i="1" s="1"/>
  <c r="K61" i="1"/>
  <c r="S61" i="1" s="1"/>
  <c r="V61" i="1" s="1"/>
  <c r="K47" i="1"/>
  <c r="S47" i="1" s="1"/>
  <c r="V47" i="1" s="1"/>
  <c r="K74" i="1"/>
  <c r="S74" i="1" s="1"/>
  <c r="V74" i="1" s="1"/>
  <c r="K60" i="1"/>
  <c r="S60" i="1" s="1"/>
  <c r="V60" i="1" s="1"/>
  <c r="K46" i="1"/>
  <c r="S46" i="1" s="1"/>
  <c r="V46" i="1" s="1"/>
  <c r="K72" i="1"/>
  <c r="S72" i="1" s="1"/>
  <c r="V72" i="1" s="1"/>
  <c r="K58" i="1"/>
  <c r="S58" i="1" s="1"/>
  <c r="V58" i="1" s="1"/>
  <c r="K44" i="1"/>
  <c r="S44" i="1" s="1"/>
  <c r="V44" i="1" s="1"/>
  <c r="K83" i="1"/>
  <c r="S83" i="1" s="1"/>
  <c r="V83" i="1" s="1"/>
  <c r="K69" i="1"/>
  <c r="S69" i="1" s="1"/>
  <c r="V69" i="1" s="1"/>
  <c r="K55" i="1"/>
  <c r="S55" i="1" s="1"/>
  <c r="V55" i="1" s="1"/>
  <c r="K82" i="1"/>
  <c r="S82" i="1" s="1"/>
  <c r="V82" i="1" s="1"/>
  <c r="K68" i="1"/>
  <c r="S68" i="1" s="1"/>
  <c r="V68" i="1" s="1"/>
  <c r="K54" i="1"/>
  <c r="S54" i="1" s="1"/>
  <c r="V54" i="1" s="1"/>
  <c r="K81" i="1"/>
  <c r="S81" i="1" s="1"/>
  <c r="V81" i="1" s="1"/>
  <c r="K67" i="1"/>
  <c r="S67" i="1" s="1"/>
  <c r="V67" i="1" s="1"/>
  <c r="K53" i="1"/>
  <c r="S53" i="1" s="1"/>
  <c r="V53" i="1" s="1"/>
  <c r="K80" i="1"/>
  <c r="S80" i="1" s="1"/>
  <c r="V80" i="1" s="1"/>
  <c r="K66" i="1"/>
  <c r="S66" i="1" s="1"/>
  <c r="V66" i="1" s="1"/>
  <c r="K52" i="1"/>
  <c r="S52" i="1" s="1"/>
  <c r="V52" i="1" s="1"/>
  <c r="K36" i="1"/>
  <c r="S36" i="1" s="1"/>
  <c r="L32" i="1"/>
  <c r="R32" i="1" s="1"/>
  <c r="K35" i="1"/>
  <c r="L31" i="1"/>
  <c r="R31" i="1" s="1"/>
  <c r="K34" i="1"/>
  <c r="L30" i="1"/>
  <c r="K31" i="1"/>
  <c r="L22" i="1"/>
  <c r="M37" i="1"/>
  <c r="N37" i="1" s="1"/>
  <c r="P37" i="1" s="1"/>
  <c r="K37" i="1"/>
  <c r="S37" i="1" s="1"/>
  <c r="M36" i="1"/>
  <c r="N36" i="1" s="1"/>
  <c r="P36" i="1" s="1"/>
  <c r="K32" i="1"/>
  <c r="M22" i="3"/>
  <c r="N22" i="3" s="1"/>
  <c r="P22" i="3" s="1"/>
  <c r="K24" i="3"/>
  <c r="S24" i="3" s="1"/>
  <c r="V24" i="3" s="1"/>
  <c r="K40" i="3"/>
  <c r="S40" i="3" s="1"/>
  <c r="V40" i="3" s="1"/>
  <c r="L40" i="3"/>
  <c r="R40" i="3" s="1"/>
  <c r="U40" i="3" s="1"/>
  <c r="K20" i="3"/>
  <c r="S20" i="3" s="1"/>
  <c r="V20" i="3" s="1"/>
  <c r="K38" i="3"/>
  <c r="S38" i="3" s="1"/>
  <c r="V38" i="3" s="1"/>
  <c r="M18" i="3"/>
  <c r="N18" i="3" s="1"/>
  <c r="P18" i="3" s="1"/>
  <c r="M34" i="3"/>
  <c r="N34" i="3" s="1"/>
  <c r="P34" i="3" s="1"/>
  <c r="L26" i="3"/>
  <c r="R26" i="3" s="1"/>
  <c r="U26" i="3" s="1"/>
  <c r="M32" i="3"/>
  <c r="N32" i="3" s="1"/>
  <c r="P32" i="3" s="1"/>
  <c r="L32" i="3"/>
  <c r="R32" i="3" s="1"/>
  <c r="U32" i="3" s="1"/>
  <c r="K36" i="3"/>
  <c r="S36" i="3" s="1"/>
  <c r="V36" i="3" s="1"/>
  <c r="L36" i="3"/>
  <c r="R36" i="3" s="1"/>
  <c r="U36" i="3" s="1"/>
  <c r="M30" i="3"/>
  <c r="N30" i="3" s="1"/>
  <c r="P30" i="3" s="1"/>
  <c r="J34" i="3"/>
  <c r="O34" i="3" s="1"/>
  <c r="Q34" i="3" s="1"/>
  <c r="K34" i="3"/>
  <c r="S34" i="3" s="1"/>
  <c r="V34" i="3" s="1"/>
  <c r="M19" i="3"/>
  <c r="N19" i="3" s="1"/>
  <c r="P19" i="3" s="1"/>
  <c r="L34" i="3"/>
  <c r="R34" i="3" s="1"/>
  <c r="U34" i="3" s="1"/>
  <c r="J38" i="3"/>
  <c r="O38" i="3" s="1"/>
  <c r="Q38" i="3" s="1"/>
  <c r="K14" i="3"/>
  <c r="S14" i="3" s="1"/>
  <c r="V14" i="3" s="1"/>
  <c r="J26" i="3"/>
  <c r="O26" i="3" s="1"/>
  <c r="Q26" i="3" s="1"/>
  <c r="L38" i="3"/>
  <c r="R38" i="3" s="1"/>
  <c r="U38" i="3" s="1"/>
  <c r="L14" i="3"/>
  <c r="R14" i="3" s="1"/>
  <c r="U14" i="3" s="1"/>
  <c r="J23" i="3"/>
  <c r="O23" i="3" s="1"/>
  <c r="Q23" i="3" s="1"/>
  <c r="K26" i="3"/>
  <c r="S26" i="3" s="1"/>
  <c r="V26" i="3" s="1"/>
  <c r="M38" i="3"/>
  <c r="N38" i="3" s="1"/>
  <c r="P38" i="3" s="1"/>
  <c r="L22" i="3"/>
  <c r="R22" i="3" s="1"/>
  <c r="U22" i="3" s="1"/>
  <c r="K9" i="3"/>
  <c r="S9" i="3" s="1"/>
  <c r="V9" i="3" s="1"/>
  <c r="J9" i="3"/>
  <c r="O9" i="3" s="1"/>
  <c r="Q9" i="3" s="1"/>
  <c r="M26" i="3"/>
  <c r="N26" i="3" s="1"/>
  <c r="P26" i="3" s="1"/>
  <c r="L9" i="3"/>
  <c r="R9" i="3" s="1"/>
  <c r="U9" i="3" s="1"/>
  <c r="J22" i="3"/>
  <c r="O22" i="3" s="1"/>
  <c r="Q22" i="3" s="1"/>
  <c r="K22" i="3"/>
  <c r="S22" i="3" s="1"/>
  <c r="V22" i="3" s="1"/>
  <c r="J14" i="3"/>
  <c r="O14" i="3" s="1"/>
  <c r="Q14" i="3" s="1"/>
  <c r="M6" i="3"/>
  <c r="N6" i="3" s="1"/>
  <c r="P6" i="3" s="1"/>
  <c r="J18" i="3"/>
  <c r="O18" i="3" s="1"/>
  <c r="Q18" i="3" s="1"/>
  <c r="J30" i="3"/>
  <c r="O30" i="3" s="1"/>
  <c r="Q30" i="3" s="1"/>
  <c r="J7" i="3"/>
  <c r="O7" i="3" s="1"/>
  <c r="Q7" i="3" s="1"/>
  <c r="J15" i="3"/>
  <c r="O15" i="3" s="1"/>
  <c r="Q15" i="3" s="1"/>
  <c r="K18" i="3"/>
  <c r="S18" i="3" s="1"/>
  <c r="V18" i="3" s="1"/>
  <c r="K30" i="3"/>
  <c r="S30" i="3" s="1"/>
  <c r="V30" i="3" s="1"/>
  <c r="L11" i="3"/>
  <c r="R11" i="3" s="1"/>
  <c r="U11" i="3" s="1"/>
  <c r="M11" i="3"/>
  <c r="N11" i="3" s="1"/>
  <c r="P11" i="3" s="1"/>
  <c r="K11" i="3"/>
  <c r="S11" i="3" s="1"/>
  <c r="V11" i="3" s="1"/>
  <c r="M9" i="3"/>
  <c r="N9" i="3" s="1"/>
  <c r="P9" i="3" s="1"/>
  <c r="K7" i="3"/>
  <c r="S7" i="3" s="1"/>
  <c r="V7" i="3" s="1"/>
  <c r="L18" i="3"/>
  <c r="R18" i="3" s="1"/>
  <c r="U18" i="3" s="1"/>
  <c r="L30" i="3"/>
  <c r="R30" i="3" s="1"/>
  <c r="U30" i="3" s="1"/>
  <c r="M7" i="3"/>
  <c r="N7" i="3" s="1"/>
  <c r="P7" i="3" s="1"/>
  <c r="L27" i="3"/>
  <c r="R27" i="3" s="1"/>
  <c r="U27" i="3" s="1"/>
  <c r="K27" i="3"/>
  <c r="S27" i="3" s="1"/>
  <c r="V27" i="3" s="1"/>
  <c r="L31" i="3"/>
  <c r="R31" i="3" s="1"/>
  <c r="U31" i="3" s="1"/>
  <c r="K31" i="3"/>
  <c r="S31" i="3" s="1"/>
  <c r="V31" i="3" s="1"/>
  <c r="J6" i="3"/>
  <c r="O6" i="3" s="1"/>
  <c r="Q6" i="3" s="1"/>
  <c r="J27" i="3"/>
  <c r="O27" i="3" s="1"/>
  <c r="Q27" i="3" s="1"/>
  <c r="L13" i="3"/>
  <c r="R13" i="3" s="1"/>
  <c r="U13" i="3" s="1"/>
  <c r="K13" i="3"/>
  <c r="S13" i="3" s="1"/>
  <c r="V13" i="3" s="1"/>
  <c r="J13" i="3"/>
  <c r="O13" i="3" s="1"/>
  <c r="Q13" i="3" s="1"/>
  <c r="M23" i="3"/>
  <c r="N23" i="3" s="1"/>
  <c r="P23" i="3" s="1"/>
  <c r="M27" i="3"/>
  <c r="N27" i="3" s="1"/>
  <c r="P27" i="3" s="1"/>
  <c r="L33" i="3"/>
  <c r="R33" i="3" s="1"/>
  <c r="U33" i="3" s="1"/>
  <c r="L37" i="3"/>
  <c r="R37" i="3" s="1"/>
  <c r="U37" i="3" s="1"/>
  <c r="L41" i="3"/>
  <c r="R41" i="3" s="1"/>
  <c r="U41" i="3" s="1"/>
  <c r="L6" i="3"/>
  <c r="R6" i="3" s="1"/>
  <c r="U6" i="3" s="1"/>
  <c r="J8" i="3"/>
  <c r="O8" i="3" s="1"/>
  <c r="Q8" i="3" s="1"/>
  <c r="L8" i="3"/>
  <c r="R8" i="3" s="1"/>
  <c r="U8" i="3" s="1"/>
  <c r="M8" i="3"/>
  <c r="N8" i="3" s="1"/>
  <c r="P8" i="3" s="1"/>
  <c r="L19" i="3"/>
  <c r="R19" i="3" s="1"/>
  <c r="U19" i="3" s="1"/>
  <c r="K19" i="3"/>
  <c r="S19" i="3" s="1"/>
  <c r="V19" i="3" s="1"/>
  <c r="L17" i="3"/>
  <c r="R17" i="3" s="1"/>
  <c r="U17" i="3" s="1"/>
  <c r="M31" i="3"/>
  <c r="N31" i="3" s="1"/>
  <c r="P31" i="3" s="1"/>
  <c r="L15" i="3"/>
  <c r="R15" i="3" s="1"/>
  <c r="U15" i="3" s="1"/>
  <c r="K15" i="3"/>
  <c r="S15" i="3" s="1"/>
  <c r="V15" i="3" s="1"/>
  <c r="L23" i="3"/>
  <c r="R23" i="3" s="1"/>
  <c r="U23" i="3" s="1"/>
  <c r="K23" i="3"/>
  <c r="S23" i="3" s="1"/>
  <c r="V23" i="3" s="1"/>
  <c r="L35" i="3"/>
  <c r="R35" i="3" s="1"/>
  <c r="U35" i="3" s="1"/>
  <c r="K35" i="3"/>
  <c r="S35" i="3" s="1"/>
  <c r="V35" i="3" s="1"/>
  <c r="L39" i="3"/>
  <c r="R39" i="3" s="1"/>
  <c r="U39" i="3" s="1"/>
  <c r="K39" i="3"/>
  <c r="S39" i="3" s="1"/>
  <c r="V39" i="3" s="1"/>
  <c r="J19" i="3"/>
  <c r="O19" i="3" s="1"/>
  <c r="Q19" i="3" s="1"/>
  <c r="J31" i="3"/>
  <c r="O31" i="3" s="1"/>
  <c r="Q31" i="3" s="1"/>
  <c r="J35" i="3"/>
  <c r="O35" i="3" s="1"/>
  <c r="Q35" i="3" s="1"/>
  <c r="K6" i="3"/>
  <c r="S6" i="3" s="1"/>
  <c r="V6" i="3" s="1"/>
  <c r="M15" i="3"/>
  <c r="N15" i="3" s="1"/>
  <c r="P15" i="3" s="1"/>
  <c r="L21" i="3"/>
  <c r="R21" i="3" s="1"/>
  <c r="U21" i="3" s="1"/>
  <c r="L25" i="3"/>
  <c r="R25" i="3" s="1"/>
  <c r="U25" i="3" s="1"/>
  <c r="L29" i="3"/>
  <c r="R29" i="3" s="1"/>
  <c r="U29" i="3" s="1"/>
  <c r="M35" i="3"/>
  <c r="N35" i="3" s="1"/>
  <c r="P35" i="3" s="1"/>
  <c r="M39" i="3"/>
  <c r="N39" i="3" s="1"/>
  <c r="P39" i="3" s="1"/>
  <c r="M13" i="3"/>
  <c r="N13" i="3" s="1"/>
  <c r="P13" i="3" s="1"/>
  <c r="J12" i="3"/>
  <c r="O12" i="3" s="1"/>
  <c r="Q12" i="3" s="1"/>
  <c r="J16" i="3"/>
  <c r="O16" i="3" s="1"/>
  <c r="Q16" i="3" s="1"/>
  <c r="J20" i="3"/>
  <c r="O20" i="3" s="1"/>
  <c r="Q20" i="3" s="1"/>
  <c r="J24" i="3"/>
  <c r="O24" i="3" s="1"/>
  <c r="Q24" i="3" s="1"/>
  <c r="J28" i="3"/>
  <c r="O28" i="3" s="1"/>
  <c r="Q28" i="3" s="1"/>
  <c r="J32" i="3"/>
  <c r="O32" i="3" s="1"/>
  <c r="Q32" i="3" s="1"/>
  <c r="J36" i="3"/>
  <c r="O36" i="3" s="1"/>
  <c r="Q36" i="3" s="1"/>
  <c r="J40" i="3"/>
  <c r="O40" i="3" s="1"/>
  <c r="Q40" i="3" s="1"/>
  <c r="J17" i="3"/>
  <c r="O17" i="3" s="1"/>
  <c r="Q17" i="3" s="1"/>
  <c r="J21" i="3"/>
  <c r="O21" i="3" s="1"/>
  <c r="Q21" i="3" s="1"/>
  <c r="J25" i="3"/>
  <c r="O25" i="3" s="1"/>
  <c r="Q25" i="3" s="1"/>
  <c r="J29" i="3"/>
  <c r="O29" i="3" s="1"/>
  <c r="Q29" i="3" s="1"/>
  <c r="J33" i="3"/>
  <c r="O33" i="3" s="1"/>
  <c r="Q33" i="3" s="1"/>
  <c r="J37" i="3"/>
  <c r="O37" i="3" s="1"/>
  <c r="Q37" i="3" s="1"/>
  <c r="J41" i="3"/>
  <c r="O41" i="3" s="1"/>
  <c r="Q41" i="3" s="1"/>
  <c r="K17" i="3"/>
  <c r="S17" i="3" s="1"/>
  <c r="V17" i="3" s="1"/>
  <c r="K21" i="3"/>
  <c r="S21" i="3" s="1"/>
  <c r="V21" i="3" s="1"/>
  <c r="K25" i="3"/>
  <c r="S25" i="3" s="1"/>
  <c r="V25" i="3" s="1"/>
  <c r="K29" i="3"/>
  <c r="S29" i="3" s="1"/>
  <c r="V29" i="3" s="1"/>
  <c r="K33" i="3"/>
  <c r="S33" i="3" s="1"/>
  <c r="V33" i="3" s="1"/>
  <c r="K37" i="3"/>
  <c r="S37" i="3" s="1"/>
  <c r="V37" i="3" s="1"/>
  <c r="K41" i="3"/>
  <c r="S41" i="3" s="1"/>
  <c r="V41" i="3" s="1"/>
  <c r="J6" i="1"/>
  <c r="O6" i="1" s="1"/>
  <c r="Q6" i="1" s="1"/>
  <c r="R27" i="1"/>
  <c r="R9" i="1"/>
  <c r="S7" i="1"/>
  <c r="J11" i="1"/>
  <c r="S15" i="1"/>
  <c r="J14" i="1"/>
  <c r="J28" i="1"/>
  <c r="R21" i="1"/>
  <c r="N14" i="1"/>
  <c r="P14" i="1" s="1"/>
  <c r="R36" i="1"/>
  <c r="N25" i="1"/>
  <c r="P25" i="1" s="1"/>
  <c r="J23" i="1"/>
  <c r="J37" i="1"/>
  <c r="O37" i="1" s="1"/>
  <c r="Q37" i="1" s="1"/>
  <c r="R37" i="1"/>
  <c r="R40" i="1"/>
  <c r="N33" i="1"/>
  <c r="P33" i="1" s="1"/>
  <c r="J33" i="1"/>
  <c r="N10" i="1"/>
  <c r="P10" i="1" s="1"/>
  <c r="J12" i="1"/>
  <c r="R41" i="1"/>
  <c r="S41" i="1"/>
  <c r="N41" i="1"/>
  <c r="P41" i="1" s="1"/>
  <c r="J41" i="1"/>
  <c r="O41" i="1" s="1"/>
  <c r="Q41" i="1" s="1"/>
  <c r="J9" i="1"/>
  <c r="N35" i="1"/>
  <c r="P35" i="1" s="1"/>
  <c r="J35" i="1"/>
  <c r="S39" i="1"/>
  <c r="N39" i="1"/>
  <c r="P39" i="1" s="1"/>
  <c r="N26" i="1"/>
  <c r="P26" i="1" s="1"/>
  <c r="J8" i="1"/>
  <c r="J13" i="1"/>
  <c r="J16" i="1"/>
  <c r="J24" i="1"/>
  <c r="N34" i="1"/>
  <c r="P34" i="1" s="1"/>
  <c r="J26" i="1"/>
  <c r="J29" i="1"/>
  <c r="J10" i="1"/>
  <c r="N7" i="1"/>
  <c r="P7" i="1" s="1"/>
  <c r="J7" i="1"/>
  <c r="N30" i="1"/>
  <c r="P30" i="1" s="1"/>
  <c r="J30" i="1"/>
  <c r="J31" i="1"/>
  <c r="J32" i="1"/>
  <c r="J36" i="1"/>
  <c r="O36" i="1" s="1"/>
  <c r="Q36" i="1" s="1"/>
  <c r="S40" i="1"/>
  <c r="J40" i="1"/>
  <c r="O40" i="1" s="1"/>
  <c r="Q40" i="1" s="1"/>
  <c r="N6" i="1"/>
  <c r="P6" i="1" s="1"/>
  <c r="N28" i="1"/>
  <c r="P28" i="1" s="1"/>
  <c r="J15" i="1"/>
  <c r="J18" i="1"/>
  <c r="J19" i="1"/>
  <c r="J17" i="1"/>
  <c r="J20" i="1"/>
  <c r="J21" i="1"/>
  <c r="N38" i="1"/>
  <c r="P38" i="1" s="1"/>
  <c r="S38" i="1"/>
  <c r="J38" i="1"/>
  <c r="O38" i="1" s="1"/>
  <c r="Q38" i="1" s="1"/>
  <c r="R38" i="1"/>
  <c r="N20" i="1"/>
  <c r="P20" i="1" s="1"/>
  <c r="N22" i="1"/>
  <c r="P22" i="1" s="1"/>
  <c r="J22" i="1"/>
  <c r="R39" i="1"/>
  <c r="J27" i="1"/>
  <c r="J34" i="1"/>
  <c r="J25" i="1"/>
  <c r="J39" i="1"/>
  <c r="O39" i="1" s="1"/>
  <c r="Q39" i="1" s="1"/>
  <c r="V2" i="5" l="1"/>
  <c r="U2" i="4"/>
  <c r="V2" i="4"/>
  <c r="V2" i="3"/>
  <c r="U2" i="3"/>
  <c r="S12" i="1"/>
  <c r="O34" i="1"/>
  <c r="Q34" i="1" s="1"/>
  <c r="N12" i="1"/>
  <c r="P12" i="1" s="1"/>
  <c r="O16" i="1"/>
  <c r="Q16" i="1" s="1"/>
  <c r="O23" i="1"/>
  <c r="Q23" i="1" s="1"/>
  <c r="O20" i="1"/>
  <c r="Q20" i="1" s="1"/>
  <c r="O10" i="1"/>
  <c r="Q10" i="1" s="1"/>
  <c r="O13" i="1"/>
  <c r="Q13" i="1" s="1"/>
  <c r="O19" i="1"/>
  <c r="Q19" i="1" s="1"/>
  <c r="O32" i="1"/>
  <c r="Q32" i="1" s="1"/>
  <c r="O26" i="1"/>
  <c r="Q26" i="1" s="1"/>
  <c r="O33" i="1"/>
  <c r="Q33" i="1" s="1"/>
  <c r="N13" i="1"/>
  <c r="P13" i="1" s="1"/>
  <c r="O27" i="1"/>
  <c r="Q27" i="1" s="1"/>
  <c r="O29" i="1"/>
  <c r="Q29" i="1" s="1"/>
  <c r="O8" i="1"/>
  <c r="Q8" i="1" s="1"/>
  <c r="N23" i="1"/>
  <c r="P23" i="1" s="1"/>
  <c r="O31" i="1"/>
  <c r="Q31" i="1" s="1"/>
  <c r="O14" i="1"/>
  <c r="Q14" i="1" s="1"/>
  <c r="O17" i="1"/>
  <c r="Q17" i="1" s="1"/>
  <c r="O24" i="1"/>
  <c r="Q24" i="1" s="1"/>
  <c r="O9" i="1"/>
  <c r="Q9" i="1" s="1"/>
  <c r="N31" i="1"/>
  <c r="P31" i="1" s="1"/>
  <c r="N29" i="1"/>
  <c r="P29" i="1" s="1"/>
  <c r="O18" i="1"/>
  <c r="Q18" i="1" s="1"/>
  <c r="N11" i="1"/>
  <c r="P11" i="1" s="1"/>
  <c r="N15" i="1"/>
  <c r="P15" i="1" s="1"/>
  <c r="N24" i="1"/>
  <c r="P24" i="1" s="1"/>
  <c r="N8" i="1"/>
  <c r="P8" i="1" s="1"/>
  <c r="N19" i="1"/>
  <c r="P19" i="1" s="1"/>
  <c r="O11" i="1"/>
  <c r="Q11" i="1" s="1"/>
  <c r="N18" i="1"/>
  <c r="P18" i="1" s="1"/>
  <c r="N32" i="1"/>
  <c r="P32" i="1" s="1"/>
  <c r="O28" i="1"/>
  <c r="Q28" i="1" s="1"/>
  <c r="N17" i="1"/>
  <c r="P17" i="1" s="1"/>
  <c r="N16" i="1"/>
  <c r="P16" i="1" s="1"/>
  <c r="N9" i="1"/>
  <c r="P9" i="1" s="1"/>
  <c r="O12" i="1"/>
  <c r="Q12" i="1" s="1"/>
  <c r="N27" i="1"/>
  <c r="P27" i="1" s="1"/>
  <c r="O22" i="1"/>
  <c r="Q22" i="1" s="1"/>
  <c r="N21" i="1"/>
  <c r="P21" i="1" s="1"/>
  <c r="O35" i="1"/>
  <c r="Q35" i="1" s="1"/>
  <c r="O15" i="1"/>
  <c r="Q15" i="1" s="1"/>
  <c r="O30" i="1"/>
  <c r="Q30" i="1" s="1"/>
  <c r="O25" i="1"/>
  <c r="Q25" i="1" s="1"/>
  <c r="O21" i="1"/>
  <c r="Q21" i="1" s="1"/>
  <c r="O7" i="1"/>
  <c r="Q7" i="1" s="1"/>
  <c r="S11" i="1"/>
  <c r="V11" i="1" s="1"/>
  <c r="S6" i="1"/>
  <c r="V6" i="1" s="1"/>
  <c r="R11" i="1"/>
  <c r="U11" i="1" s="1"/>
  <c r="R35" i="1"/>
  <c r="U35" i="1" s="1"/>
  <c r="R22" i="1"/>
  <c r="U22" i="1" s="1"/>
  <c r="S25" i="1"/>
  <c r="V25" i="1" s="1"/>
  <c r="U36" i="1"/>
  <c r="R6" i="1"/>
  <c r="U14" i="1"/>
  <c r="R28" i="1"/>
  <c r="U28" i="1" s="1"/>
  <c r="U21" i="1"/>
  <c r="S28" i="1"/>
  <c r="V28" i="1" s="1"/>
  <c r="S10" i="1"/>
  <c r="V10" i="1" s="1"/>
  <c r="U40" i="1"/>
  <c r="V36" i="1"/>
  <c r="S21" i="1"/>
  <c r="V21" i="1" s="1"/>
  <c r="U37" i="1"/>
  <c r="R25" i="1"/>
  <c r="S29" i="1"/>
  <c r="S20" i="1"/>
  <c r="S8" i="1"/>
  <c r="R33" i="1"/>
  <c r="S18" i="1"/>
  <c r="R13" i="1"/>
  <c r="S32" i="1"/>
  <c r="S16" i="1"/>
  <c r="S9" i="1"/>
  <c r="S14" i="1"/>
  <c r="U9" i="1"/>
  <c r="U27" i="1"/>
  <c r="U39" i="1"/>
  <c r="R15" i="1"/>
  <c r="R12" i="1"/>
  <c r="R26" i="1"/>
  <c r="S34" i="1"/>
  <c r="U38" i="1"/>
  <c r="R29" i="1"/>
  <c r="R24" i="1"/>
  <c r="S30" i="1"/>
  <c r="R19" i="1"/>
  <c r="R18" i="1"/>
  <c r="S13" i="1"/>
  <c r="V12" i="1"/>
  <c r="V37" i="1"/>
  <c r="V39" i="1"/>
  <c r="U32" i="1"/>
  <c r="R10" i="1"/>
  <c r="R17" i="1"/>
  <c r="V40" i="1"/>
  <c r="R8" i="1"/>
  <c r="V15" i="1"/>
  <c r="S31" i="1"/>
  <c r="R16" i="1"/>
  <c r="S19" i="1"/>
  <c r="R30" i="1"/>
  <c r="V41" i="1"/>
  <c r="R34" i="1"/>
  <c r="U41" i="1"/>
  <c r="S27" i="1"/>
  <c r="S17" i="1"/>
  <c r="S33" i="1"/>
  <c r="V38" i="1"/>
  <c r="U31" i="1"/>
  <c r="R7" i="1"/>
  <c r="S24" i="1"/>
  <c r="S35" i="1"/>
  <c r="V7" i="1"/>
  <c r="R20" i="1"/>
  <c r="S26" i="1"/>
  <c r="R23" i="1"/>
  <c r="S22" i="1"/>
  <c r="S23" i="1"/>
  <c r="U25" i="1" l="1"/>
  <c r="U6" i="1"/>
  <c r="U18" i="1"/>
  <c r="U26" i="1"/>
  <c r="V16" i="1"/>
  <c r="U30" i="1"/>
  <c r="U12" i="1"/>
  <c r="U10" i="1"/>
  <c r="V32" i="1"/>
  <c r="V19" i="1"/>
  <c r="U15" i="1"/>
  <c r="U19" i="1"/>
  <c r="U23" i="1"/>
  <c r="U13" i="1"/>
  <c r="V26" i="1"/>
  <c r="V18" i="1"/>
  <c r="V20" i="1"/>
  <c r="V30" i="1"/>
  <c r="V33" i="1"/>
  <c r="V17" i="1"/>
  <c r="U24" i="1"/>
  <c r="V27" i="1"/>
  <c r="V14" i="1"/>
  <c r="V23" i="1"/>
  <c r="V9" i="1"/>
  <c r="U16" i="1"/>
  <c r="V31" i="1"/>
  <c r="U20" i="1"/>
  <c r="U33" i="1"/>
  <c r="V8" i="1"/>
  <c r="U8" i="1"/>
  <c r="U29" i="1"/>
  <c r="V22" i="1"/>
  <c r="V35" i="1"/>
  <c r="U34" i="1"/>
  <c r="V29" i="1"/>
  <c r="V13" i="1"/>
  <c r="V34" i="1"/>
  <c r="V24" i="1"/>
  <c r="U17" i="1"/>
  <c r="U7" i="1"/>
  <c r="V2" i="1" l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tc={DDBB25FF-9612-41E6-B9FC-111A3C3DC039}</author>
  </authors>
  <commentList>
    <comment ref="E29" authorId="0" shapeId="0" xr:uid="{DDBB25FF-9612-41E6-B9FC-111A3C3DC039}">
      <text>
        <t>[Threaded comment]
Your version of Excel allows you to read this threaded comment; however, any edits to it will get removed if the file is opened in a newer version of Excel. Learn more: https://go.microsoft.com/fwlink/?linkid=870924
Comment:
    Snapshot on 2027-12-01, highest pfe date</t>
      </text>
    </comment>
  </commentList>
</comments>
</file>

<file path=xl/sharedStrings.xml><?xml version="1.0" encoding="utf-8"?>
<sst xmlns="http://schemas.openxmlformats.org/spreadsheetml/2006/main" count="105" uniqueCount="31">
  <si>
    <t>r</t>
  </si>
  <si>
    <t>vol</t>
  </si>
  <si>
    <t>month</t>
  </si>
  <si>
    <t>forward curve</t>
  </si>
  <si>
    <t>T-t</t>
  </si>
  <si>
    <t>99% lower</t>
  </si>
  <si>
    <t>95% lower</t>
  </si>
  <si>
    <t>95% upper</t>
  </si>
  <si>
    <t>99% upper</t>
  </si>
  <si>
    <t>99% upside risk</t>
  </si>
  <si>
    <t>99% upside risk P/L</t>
  </si>
  <si>
    <t>95% upside risk price</t>
  </si>
  <si>
    <t>95% downside risk price</t>
  </si>
  <si>
    <t>95% upside risk P/L</t>
  </si>
  <si>
    <t>VOLUMES</t>
  </si>
  <si>
    <t>z-score 95%</t>
  </si>
  <si>
    <t>z-score 99%</t>
  </si>
  <si>
    <t>95% downside risk P/L</t>
  </si>
  <si>
    <t>95% UPSIDE TOTAL</t>
  </si>
  <si>
    <t>95% DOWNSIDE TOTAL</t>
  </si>
  <si>
    <t>99% downside risk</t>
  </si>
  <si>
    <t>days in month</t>
  </si>
  <si>
    <t>99% downside risk P/L</t>
  </si>
  <si>
    <t>maturity_date</t>
  </si>
  <si>
    <t>current_atc</t>
  </si>
  <si>
    <t>sd_log_return</t>
  </si>
  <si>
    <t>sd_dollar_change</t>
  </si>
  <si>
    <t>n_obs_used</t>
  </si>
  <si>
    <t>ann_factor</t>
  </si>
  <si>
    <t>sd_log_return_ann</t>
  </si>
  <si>
    <t>sd_dollar_change_ann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</si>
</sst>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_(&quot;$&quot;* #,##0_);_(&quot;$&quot;* \(#,##0\);_(&quot;$&quot;* &quot;-&quot;??_);_(@_)"/>
    <numFmt numFmtId="166" formatCode="yyyy\-mm\-dd;@"/>
  </numFmts>
  <fonts count="6" x14ac:knownFonts="1">
    <font>
      <sz val="8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name val="Tahoma"/>
      <family val="2"/>
    </font>
    <font>
      <sz val="8"/>
      <color theme="3"/>
      <name val="Tahoma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165" fontId="2" fillId="2" borderId="0" xfId="0" applyNumberFormat="1" applyFont="1" applyFill="1"/>
    <xf numFmtId="0" fontId="3" fillId="2" borderId="0" xfId="0" applyFont="1" applyFill="1"/>
    <xf numFmtId="0" fontId="3" fillId="2" borderId="1" xfId="0" applyFont="1" applyFill="1" applyBorder="1"/>
    <xf numFmtId="164" fontId="3" fillId="2" borderId="1" xfId="0" applyNumberFormat="1" applyFont="1" applyFill="1" applyBorder="1"/>
    <xf numFmtId="164" fontId="3" fillId="2" borderId="0" xfId="0" applyNumberFormat="1" applyFont="1" applyFill="1"/>
    <xf numFmtId="9" fontId="0" fillId="2" borderId="0" xfId="0" applyNumberFormat="1" applyFill="1"/>
    <xf numFmtId="2" fontId="0" fillId="2" borderId="0" xfId="0" applyNumberFormat="1" applyFill="1"/>
    <xf numFmtId="10" fontId="0" fillId="2" borderId="0" xfId="0" applyNumberFormat="1" applyFill="1"/>
    <xf numFmtId="44" fontId="0" fillId="2" borderId="1" xfId="1" applyFont="1" applyFill="1" applyBorder="1"/>
    <xf numFmtId="44" fontId="0" fillId="2" borderId="0" xfId="1" applyFont="1" applyFill="1" applyBorder="1"/>
    <xf numFmtId="44" fontId="0" fillId="2" borderId="0" xfId="0" applyNumberFormat="1" applyFill="1"/>
    <xf numFmtId="0" fontId="0" fillId="2" borderId="0" xfId="2" applyNumberFormat="1" applyFont="1" applyFill="1"/>
    <xf numFmtId="164" fontId="3" fillId="3" borderId="1" xfId="0" applyNumberFormat="1" applyFont="1" applyFill="1" applyBorder="1"/>
    <xf numFmtId="166" fontId="1" fillId="2" borderId="1" xfId="0" applyNumberFormat="1" applyFont="1" applyFill="1" applyBorder="1"/>
    <xf numFmtId="0" fontId="0" fillId="3" borderId="0" xfId="0" applyFill="1"/>
    <xf numFmtId="164" fontId="1" fillId="3" borderId="0" xfId="0" applyNumberFormat="1" applyFont="1" applyFill="1"/>
    <xf numFmtId="164" fontId="0" fillId="3" borderId="0" xfId="0" applyNumberFormat="1" applyFill="1"/>
    <xf numFmtId="44" fontId="4" fillId="2" borderId="1" xfId="1" applyFont="1" applyFill="1" applyBorder="1"/>
    <xf numFmtId="44" fontId="4" fillId="3" borderId="1" xfId="1" applyFont="1" applyFill="1" applyBorder="1"/>
    <xf numFmtId="14" fontId="0" fillId="0" borderId="0" xfId="0" applyNumberFormat="1"/>
    <xf numFmtId="10" fontId="4" fillId="2" borderId="0" xfId="0" applyNumberFormat="1" applyFont="1" applyFill="1"/>
    <xf numFmtId="164" fontId="4" fillId="2" borderId="0" xfId="0" applyNumberFormat="1" applyFont="1" applyFill="1"/>
    <xf numFmtId="166" fontId="1" fillId="3" borderId="1" xfId="0" applyNumberFormat="1" applyFont="1" applyFill="1" applyBorder="1"/>
    <xf numFmtId="2" fontId="0" fillId="2" borderId="0" xfId="2" applyNumberFormat="1" applyFont="1" applyFill="1"/>
    <xf numFmtId="9" fontId="0" fillId="4" borderId="0" xfId="2" applyFont="1" applyFill="1"/>
    <xf numFmtId="9" fontId="0" fillId="5" borderId="0" xfId="2" applyFont="1" applyFill="1"/>
    <xf numFmtId="9" fontId="0" fillId="6" borderId="0" xfId="2" applyFont="1" applyFill="1"/>
    <xf numFmtId="1" fontId="0" fillId="2" borderId="1" xfId="1" applyNumberFormat="1" applyFont="1" applyFill="1" applyBorder="1"/>
    <xf numFmtId="164" fontId="4" fillId="3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317560829371853"/>
          <c:w val="0.90080050393700783"/>
          <c:h val="0.75407839754296446"/>
        </c:manualLayout>
      </c:layout>
      <c:lineChart>
        <c:grouping val="standard"/>
        <c:varyColors val="0"/>
        <c:ser>
          <c:idx val="0"/>
          <c:order val="0"/>
          <c:tx>
            <c:strRef>
              <c:f>'pfe peak jan start'!$I$5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start'!$I$6:$I$41</c:f>
              <c:numCache>
                <c:formatCode>_("$"* #,##0.00_);_("$"* \(#,##0.00\);_("$"* "-"??_);_(@_)</c:formatCode>
                <c:ptCount val="36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98.5</c:v>
                </c:pt>
                <c:pt idx="24">
                  <c:v>147</c:v>
                </c:pt>
                <c:pt idx="25">
                  <c:v>128</c:v>
                </c:pt>
                <c:pt idx="26">
                  <c:v>68</c:v>
                </c:pt>
                <c:pt idx="27">
                  <c:v>45.75</c:v>
                </c:pt>
                <c:pt idx="28">
                  <c:v>39.25</c:v>
                </c:pt>
                <c:pt idx="29">
                  <c:v>51</c:v>
                </c:pt>
                <c:pt idx="30">
                  <c:v>85.25</c:v>
                </c:pt>
                <c:pt idx="31">
                  <c:v>66.849999999999994</c:v>
                </c:pt>
                <c:pt idx="32">
                  <c:v>41.75</c:v>
                </c:pt>
                <c:pt idx="33">
                  <c:v>41.75</c:v>
                </c:pt>
                <c:pt idx="34">
                  <c:v>57</c:v>
                </c:pt>
                <c:pt idx="35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3-4770-A40F-1F46DD5B86B0}"/>
            </c:ext>
          </c:extLst>
        </c:ser>
        <c:ser>
          <c:idx val="1"/>
          <c:order val="1"/>
          <c:tx>
            <c:strRef>
              <c:f>'pfe peak jan start'!$M$5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start'!$M$6:$M$41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95.550106076950087</c:v>
                </c:pt>
                <c:pt idx="4">
                  <c:v>86.231802368880267</c:v>
                </c:pt>
                <c:pt idx="5">
                  <c:v>106.32668807238943</c:v>
                </c:pt>
                <c:pt idx="6">
                  <c:v>143.61040534908005</c:v>
                </c:pt>
                <c:pt idx="7">
                  <c:v>131.0217376869374</c:v>
                </c:pt>
                <c:pt idx="8">
                  <c:v>96.195331991937195</c:v>
                </c:pt>
                <c:pt idx="9">
                  <c:v>94.468735588822241</c:v>
                </c:pt>
                <c:pt idx="10">
                  <c:v>134.3503672692627</c:v>
                </c:pt>
                <c:pt idx="11">
                  <c:v>228.62656235311565</c:v>
                </c:pt>
                <c:pt idx="12">
                  <c:v>307.0984467883012</c:v>
                </c:pt>
                <c:pt idx="13">
                  <c:v>344.62096905022997</c:v>
                </c:pt>
                <c:pt idx="14">
                  <c:v>130.59507214321195</c:v>
                </c:pt>
                <c:pt idx="15">
                  <c:v>77.973660242748295</c:v>
                </c:pt>
                <c:pt idx="16">
                  <c:v>95.518065917124233</c:v>
                </c:pt>
                <c:pt idx="17">
                  <c:v>91.48345739030546</c:v>
                </c:pt>
                <c:pt idx="18">
                  <c:v>154.69453282784548</c:v>
                </c:pt>
                <c:pt idx="19">
                  <c:v>144.04391957169034</c:v>
                </c:pt>
                <c:pt idx="20">
                  <c:v>78.947065077765672</c:v>
                </c:pt>
                <c:pt idx="21">
                  <c:v>103.49469375415066</c:v>
                </c:pt>
                <c:pt idx="22">
                  <c:v>146.18008417293993</c:v>
                </c:pt>
                <c:pt idx="23">
                  <c:v>185.56593466876328</c:v>
                </c:pt>
                <c:pt idx="24">
                  <c:v>389.70260265566992</c:v>
                </c:pt>
                <c:pt idx="25">
                  <c:v>466.00624236692846</c:v>
                </c:pt>
                <c:pt idx="26">
                  <c:v>152.94891906149627</c:v>
                </c:pt>
                <c:pt idx="27">
                  <c:v>83.546317737947817</c:v>
                </c:pt>
                <c:pt idx="28">
                  <c:v>115.04326893080194</c:v>
                </c:pt>
                <c:pt idx="29">
                  <c:v>99.714259887129401</c:v>
                </c:pt>
                <c:pt idx="30">
                  <c:v>173.25381719258786</c:v>
                </c:pt>
                <c:pt idx="31">
                  <c:v>166.78203659186295</c:v>
                </c:pt>
                <c:pt idx="32">
                  <c:v>84.502023495809723</c:v>
                </c:pt>
                <c:pt idx="33">
                  <c:v>120.17467354262578</c:v>
                </c:pt>
                <c:pt idx="34">
                  <c:v>172.5377889472976</c:v>
                </c:pt>
                <c:pt idx="35">
                  <c:v>207.95767387642562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3-4770-A40F-1F46DD5B86B0}"/>
            </c:ext>
          </c:extLst>
        </c:ser>
        <c:ser>
          <c:idx val="2"/>
          <c:order val="2"/>
          <c:tx>
            <c:strRef>
              <c:f>'pfe peak jan start'!$J$5</c:f>
              <c:strCache>
                <c:ptCount val="1"/>
                <c:pt idx="0">
                  <c:v>99% lower</c:v>
                </c:pt>
              </c:strCache>
            </c:strRef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start'!$J$6:$J$41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27.063867122788313</c:v>
                </c:pt>
                <c:pt idx="4">
                  <c:v>24.884280218020891</c:v>
                </c:pt>
                <c:pt idx="5">
                  <c:v>35.295393760550901</c:v>
                </c:pt>
                <c:pt idx="6">
                  <c:v>59.354892914027204</c:v>
                </c:pt>
                <c:pt idx="7">
                  <c:v>40.266063568731241</c:v>
                </c:pt>
                <c:pt idx="8">
                  <c:v>25.97608810317233</c:v>
                </c:pt>
                <c:pt idx="9">
                  <c:v>24.311200281993571</c:v>
                </c:pt>
                <c:pt idx="10">
                  <c:v>35.17894417806513</c:v>
                </c:pt>
                <c:pt idx="11">
                  <c:v>53.925764023905288</c:v>
                </c:pt>
                <c:pt idx="12">
                  <c:v>68.755991409905732</c:v>
                </c:pt>
                <c:pt idx="13">
                  <c:v>42.606124969095887</c:v>
                </c:pt>
                <c:pt idx="14">
                  <c:v>39.229156906609113</c:v>
                </c:pt>
                <c:pt idx="15">
                  <c:v>33.212869142606877</c:v>
                </c:pt>
                <c:pt idx="16">
                  <c:v>19.012524624504596</c:v>
                </c:pt>
                <c:pt idx="17">
                  <c:v>33.942762349246223</c:v>
                </c:pt>
                <c:pt idx="18">
                  <c:v>50.842757686612565</c:v>
                </c:pt>
                <c:pt idx="19">
                  <c:v>33.390771936908109</c:v>
                </c:pt>
                <c:pt idx="20">
                  <c:v>27.432445343891203</c:v>
                </c:pt>
                <c:pt idx="21">
                  <c:v>19.356056767649953</c:v>
                </c:pt>
                <c:pt idx="22">
                  <c:v>23.235084681504937</c:v>
                </c:pt>
                <c:pt idx="23">
                  <c:v>48.071382838890955</c:v>
                </c:pt>
                <c:pt idx="24">
                  <c:v>44.676552404734274</c:v>
                </c:pt>
                <c:pt idx="25">
                  <c:v>23.240028507588395</c:v>
                </c:pt>
                <c:pt idx="26">
                  <c:v>26.193834387433697</c:v>
                </c:pt>
                <c:pt idx="27">
                  <c:v>23.23249931494545</c:v>
                </c:pt>
                <c:pt idx="28">
                  <c:v>10.224568722167449</c:v>
                </c:pt>
                <c:pt idx="29">
                  <c:v>23.721807010545263</c:v>
                </c:pt>
                <c:pt idx="30">
                  <c:v>37.684655602261969</c:v>
                </c:pt>
                <c:pt idx="31">
                  <c:v>22.22328269639938</c:v>
                </c:pt>
                <c:pt idx="32">
                  <c:v>18.555964975263155</c:v>
                </c:pt>
                <c:pt idx="33">
                  <c:v>11.188812819651096</c:v>
                </c:pt>
                <c:pt idx="34">
                  <c:v>14.108733096000739</c:v>
                </c:pt>
                <c:pt idx="35">
                  <c:v>35.654588759868652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63-4770-A40F-1F46DD5B86B0}"/>
            </c:ext>
          </c:extLst>
        </c:ser>
        <c:ser>
          <c:idx val="3"/>
          <c:order val="3"/>
          <c:tx>
            <c:strRef>
              <c:f>'pfe peak jan start'!$K$5</c:f>
              <c:strCache>
                <c:ptCount val="1"/>
                <c:pt idx="0">
                  <c:v>95% lower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start'!$K$6:$K$41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32.577681679607508</c:v>
                </c:pt>
                <c:pt idx="4">
                  <c:v>29.872040997150684</c:v>
                </c:pt>
                <c:pt idx="5">
                  <c:v>41.506665142547917</c:v>
                </c:pt>
                <c:pt idx="6">
                  <c:v>67.586988845716192</c:v>
                </c:pt>
                <c:pt idx="7">
                  <c:v>47.891715084807068</c:v>
                </c:pt>
                <c:pt idx="8">
                  <c:v>31.488545830860613</c:v>
                </c:pt>
                <c:pt idx="9">
                  <c:v>29.679575245637025</c:v>
                </c:pt>
                <c:pt idx="10">
                  <c:v>42.837867540127291</c:v>
                </c:pt>
                <c:pt idx="11">
                  <c:v>66.682393542911726</c:v>
                </c:pt>
                <c:pt idx="12">
                  <c:v>85.674764350455206</c:v>
                </c:pt>
                <c:pt idx="13">
                  <c:v>57.932861568397918</c:v>
                </c:pt>
                <c:pt idx="14">
                  <c:v>46.815261294284092</c:v>
                </c:pt>
                <c:pt idx="15">
                  <c:v>37.652091734256231</c:v>
                </c:pt>
                <c:pt idx="16">
                  <c:v>24.104076841855111</c:v>
                </c:pt>
                <c:pt idx="17">
                  <c:v>39.268368434641744</c:v>
                </c:pt>
                <c:pt idx="18">
                  <c:v>59.877569959952382</c:v>
                </c:pt>
                <c:pt idx="19">
                  <c:v>41.395144200775057</c:v>
                </c:pt>
                <c:pt idx="20">
                  <c:v>32.043950924821452</c:v>
                </c:pt>
                <c:pt idx="21">
                  <c:v>24.765359583311646</c:v>
                </c:pt>
                <c:pt idx="22">
                  <c:v>30.447819185904756</c:v>
                </c:pt>
                <c:pt idx="23">
                  <c:v>58.62947543666774</c:v>
                </c:pt>
                <c:pt idx="24">
                  <c:v>61.425924577582769</c:v>
                </c:pt>
                <c:pt idx="25">
                  <c:v>36.111694214667729</c:v>
                </c:pt>
                <c:pt idx="26">
                  <c:v>33.950708867657717</c:v>
                </c:pt>
                <c:pt idx="27">
                  <c:v>28.041468950686696</c:v>
                </c:pt>
                <c:pt idx="28">
                  <c:v>14.593829574196205</c:v>
                </c:pt>
                <c:pt idx="29">
                  <c:v>29.296496601229709</c:v>
                </c:pt>
                <c:pt idx="30">
                  <c:v>47.157621419256976</c:v>
                </c:pt>
                <c:pt idx="31">
                  <c:v>29.886811891004175</c:v>
                </c:pt>
                <c:pt idx="32">
                  <c:v>23.187989894456447</c:v>
                </c:pt>
                <c:pt idx="33">
                  <c:v>15.861375184251903</c:v>
                </c:pt>
                <c:pt idx="34">
                  <c:v>20.385933056317189</c:v>
                </c:pt>
                <c:pt idx="35">
                  <c:v>46.205480832682767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63-4770-A40F-1F46DD5B86B0}"/>
            </c:ext>
          </c:extLst>
        </c:ser>
        <c:ser>
          <c:idx val="4"/>
          <c:order val="4"/>
          <c:tx>
            <c:strRef>
              <c:f>'pfe peak jan start'!$L$5</c:f>
              <c:strCache>
                <c:ptCount val="1"/>
                <c:pt idx="0">
                  <c:v>95% upper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start'!$L$6:$L$41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79.378127635571545</c:v>
                </c:pt>
                <c:pt idx="4">
                  <c:v>71.833603002114614</c:v>
                </c:pt>
                <c:pt idx="5">
                  <c:v>90.415414244476793</c:v>
                </c:pt>
                <c:pt idx="6">
                  <c:v>126.11865651083751</c:v>
                </c:pt>
                <c:pt idx="7">
                  <c:v>110.15954657805723</c:v>
                </c:pt>
                <c:pt idx="8">
                  <c:v>79.355154485651838</c:v>
                </c:pt>
                <c:pt idx="9">
                  <c:v>77.381442701885177</c:v>
                </c:pt>
                <c:pt idx="10">
                  <c:v>110.33005006705096</c:v>
                </c:pt>
                <c:pt idx="11">
                  <c:v>184.88931479516947</c:v>
                </c:pt>
                <c:pt idx="12">
                  <c:v>246.45364745913824</c:v>
                </c:pt>
                <c:pt idx="13">
                  <c:v>253.44793398457827</c:v>
                </c:pt>
                <c:pt idx="14">
                  <c:v>109.43300186090188</c:v>
                </c:pt>
                <c:pt idx="15">
                  <c:v>68.780480842617521</c:v>
                </c:pt>
                <c:pt idx="16">
                  <c:v>75.341594380455476</c:v>
                </c:pt>
                <c:pt idx="17">
                  <c:v>79.076401105251605</c:v>
                </c:pt>
                <c:pt idx="18">
                  <c:v>131.35296995636682</c:v>
                </c:pt>
                <c:pt idx="19">
                  <c:v>116.19086634868134</c:v>
                </c:pt>
                <c:pt idx="20">
                  <c:v>67.585643633252943</c:v>
                </c:pt>
                <c:pt idx="21">
                  <c:v>80.889161359312325</c:v>
                </c:pt>
                <c:pt idx="22">
                  <c:v>111.55172111899979</c:v>
                </c:pt>
                <c:pt idx="23">
                  <c:v>152.14891521508977</c:v>
                </c:pt>
                <c:pt idx="24">
                  <c:v>283.44007631203516</c:v>
                </c:pt>
                <c:pt idx="25">
                  <c:v>299.90280414267221</c:v>
                </c:pt>
                <c:pt idx="26">
                  <c:v>118.00397662537031</c:v>
                </c:pt>
                <c:pt idx="27">
                  <c:v>69.218548180428158</c:v>
                </c:pt>
                <c:pt idx="28">
                  <c:v>80.600352582270162</c:v>
                </c:pt>
                <c:pt idx="29">
                  <c:v>80.740112424997335</c:v>
                </c:pt>
                <c:pt idx="30">
                  <c:v>138.45080044715283</c:v>
                </c:pt>
                <c:pt idx="31">
                  <c:v>124.01604966697111</c:v>
                </c:pt>
                <c:pt idx="32">
                  <c:v>67.621928225092745</c:v>
                </c:pt>
                <c:pt idx="33">
                  <c:v>84.772720669650724</c:v>
                </c:pt>
                <c:pt idx="34">
                  <c:v>119.41026228756259</c:v>
                </c:pt>
                <c:pt idx="35">
                  <c:v>160.47112177822407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63-4770-A40F-1F46DD5B8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10952040085901"/>
          <c:y val="0.16186382296618518"/>
          <c:w val="0.16586247985970079"/>
          <c:h val="0.24643700787401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1"/>
          <c:w val="0.90080050393700783"/>
          <c:h val="0.77583438320209974"/>
        </c:manualLayout>
      </c:layout>
      <c:lineChart>
        <c:grouping val="standard"/>
        <c:varyColors val="0"/>
        <c:ser>
          <c:idx val="0"/>
          <c:order val="0"/>
          <c:tx>
            <c:strRef>
              <c:f>'pfe peak jan start'!$I$5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jan start'!$H$6:$H$22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jan start'!$I$6:$I$23</c:f>
              <c:numCache>
                <c:formatCode>_("$"* #,##0.00_);_("$"* \(#,##0.00\);_("$"* "-"??_);_(@_)</c:formatCode>
                <c:ptCount val="18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8-4A36-B1EB-17129CCEEA94}"/>
            </c:ext>
          </c:extLst>
        </c:ser>
        <c:ser>
          <c:idx val="1"/>
          <c:order val="1"/>
          <c:tx>
            <c:strRef>
              <c:f>'pfe peak jan start'!$M$5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jan start'!$H$6:$H$22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jan start'!$M$6:$M$33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95.550106076950087</c:v>
                </c:pt>
                <c:pt idx="4">
                  <c:v>86.231802368880267</c:v>
                </c:pt>
                <c:pt idx="5">
                  <c:v>106.32668807238943</c:v>
                </c:pt>
                <c:pt idx="6">
                  <c:v>143.61040534908005</c:v>
                </c:pt>
                <c:pt idx="7">
                  <c:v>131.0217376869374</c:v>
                </c:pt>
                <c:pt idx="8">
                  <c:v>96.195331991937195</c:v>
                </c:pt>
                <c:pt idx="9">
                  <c:v>94.468735588822241</c:v>
                </c:pt>
                <c:pt idx="10">
                  <c:v>134.3503672692627</c:v>
                </c:pt>
                <c:pt idx="11">
                  <c:v>228.62656235311565</c:v>
                </c:pt>
                <c:pt idx="12">
                  <c:v>307.0984467883012</c:v>
                </c:pt>
                <c:pt idx="13">
                  <c:v>344.62096905022997</c:v>
                </c:pt>
                <c:pt idx="14">
                  <c:v>130.59507214321195</c:v>
                </c:pt>
                <c:pt idx="15">
                  <c:v>77.973660242748295</c:v>
                </c:pt>
                <c:pt idx="16">
                  <c:v>95.518065917124233</c:v>
                </c:pt>
                <c:pt idx="17">
                  <c:v>91.48345739030546</c:v>
                </c:pt>
                <c:pt idx="18">
                  <c:v>154.69453282784548</c:v>
                </c:pt>
                <c:pt idx="19">
                  <c:v>144.04391957169034</c:v>
                </c:pt>
                <c:pt idx="20">
                  <c:v>78.947065077765672</c:v>
                </c:pt>
                <c:pt idx="21">
                  <c:v>103.49469375415066</c:v>
                </c:pt>
                <c:pt idx="22">
                  <c:v>146.18008417293993</c:v>
                </c:pt>
                <c:pt idx="23">
                  <c:v>185.56593466876328</c:v>
                </c:pt>
                <c:pt idx="24">
                  <c:v>389.70260265566992</c:v>
                </c:pt>
                <c:pt idx="25">
                  <c:v>466.00624236692846</c:v>
                </c:pt>
                <c:pt idx="26">
                  <c:v>152.94891906149627</c:v>
                </c:pt>
                <c:pt idx="27">
                  <c:v>83.546317737947817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8-4A36-B1EB-17129CCEEA94}"/>
            </c:ext>
          </c:extLst>
        </c:ser>
        <c:ser>
          <c:idx val="2"/>
          <c:order val="2"/>
          <c:tx>
            <c:strRef>
              <c:f>'pfe peak jan start'!$J$5</c:f>
              <c:strCache>
                <c:ptCount val="1"/>
                <c:pt idx="0">
                  <c:v>99% lower</c:v>
                </c:pt>
              </c:strCache>
            </c:strRef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'pfe peak jan start'!$H$6:$H$22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jan start'!$J$6:$J$33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27.063867122788313</c:v>
                </c:pt>
                <c:pt idx="4">
                  <c:v>24.884280218020891</c:v>
                </c:pt>
                <c:pt idx="5">
                  <c:v>35.295393760550901</c:v>
                </c:pt>
                <c:pt idx="6">
                  <c:v>59.354892914027204</c:v>
                </c:pt>
                <c:pt idx="7">
                  <c:v>40.266063568731241</c:v>
                </c:pt>
                <c:pt idx="8">
                  <c:v>25.97608810317233</c:v>
                </c:pt>
                <c:pt idx="9">
                  <c:v>24.311200281993571</c:v>
                </c:pt>
                <c:pt idx="10">
                  <c:v>35.17894417806513</c:v>
                </c:pt>
                <c:pt idx="11">
                  <c:v>53.925764023905288</c:v>
                </c:pt>
                <c:pt idx="12">
                  <c:v>68.755991409905732</c:v>
                </c:pt>
                <c:pt idx="13">
                  <c:v>42.606124969095887</c:v>
                </c:pt>
                <c:pt idx="14">
                  <c:v>39.229156906609113</c:v>
                </c:pt>
                <c:pt idx="15">
                  <c:v>33.212869142606877</c:v>
                </c:pt>
                <c:pt idx="16">
                  <c:v>19.012524624504596</c:v>
                </c:pt>
                <c:pt idx="17">
                  <c:v>33.942762349246223</c:v>
                </c:pt>
                <c:pt idx="18">
                  <c:v>50.842757686612565</c:v>
                </c:pt>
                <c:pt idx="19">
                  <c:v>33.390771936908109</c:v>
                </c:pt>
                <c:pt idx="20">
                  <c:v>27.432445343891203</c:v>
                </c:pt>
                <c:pt idx="21">
                  <c:v>19.356056767649953</c:v>
                </c:pt>
                <c:pt idx="22">
                  <c:v>23.235084681504937</c:v>
                </c:pt>
                <c:pt idx="23">
                  <c:v>48.071382838890955</c:v>
                </c:pt>
                <c:pt idx="24">
                  <c:v>44.676552404734274</c:v>
                </c:pt>
                <c:pt idx="25">
                  <c:v>23.240028507588395</c:v>
                </c:pt>
                <c:pt idx="26">
                  <c:v>26.193834387433697</c:v>
                </c:pt>
                <c:pt idx="27">
                  <c:v>23.23249931494545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08-4A36-B1EB-17129CCEEA94}"/>
            </c:ext>
          </c:extLst>
        </c:ser>
        <c:ser>
          <c:idx val="3"/>
          <c:order val="3"/>
          <c:tx>
            <c:strRef>
              <c:f>pfe!#REF!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pfe!#REF!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08-4A36-B1EB-17129CCEEA94}"/>
            </c:ext>
          </c:extLst>
        </c:ser>
        <c:ser>
          <c:idx val="4"/>
          <c:order val="4"/>
          <c:tx>
            <c:strRef>
              <c:f>pfe!#REF!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pfe!#REF!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08-4A36-B1EB-17129CCEE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solidFill>
          <a:schemeClr val="bg2">
            <a:lumMod val="90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573400524934379"/>
          <c:y val="1.5000524934383202E-2"/>
          <c:w val="0.23700383605895417"/>
          <c:h val="0.24643700787401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0150737527235847"/>
          <c:w val="0.90080050393700783"/>
          <c:h val="0.78432686360064874"/>
        </c:manualLayout>
      </c:layout>
      <c:lineChart>
        <c:grouping val="standard"/>
        <c:varyColors val="0"/>
        <c:ser>
          <c:idx val="0"/>
          <c:order val="0"/>
          <c:tx>
            <c:strRef>
              <c:f>'pfe peak jan start'!$I$5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start'!$I$6:$I$41</c:f>
              <c:numCache>
                <c:formatCode>_("$"* #,##0.00_);_("$"* \(#,##0.00\);_("$"* "-"??_);_(@_)</c:formatCode>
                <c:ptCount val="36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98.5</c:v>
                </c:pt>
                <c:pt idx="24">
                  <c:v>147</c:v>
                </c:pt>
                <c:pt idx="25">
                  <c:v>128</c:v>
                </c:pt>
                <c:pt idx="26">
                  <c:v>68</c:v>
                </c:pt>
                <c:pt idx="27">
                  <c:v>45.75</c:v>
                </c:pt>
                <c:pt idx="28">
                  <c:v>39.25</c:v>
                </c:pt>
                <c:pt idx="29">
                  <c:v>51</c:v>
                </c:pt>
                <c:pt idx="30">
                  <c:v>85.25</c:v>
                </c:pt>
                <c:pt idx="31">
                  <c:v>66.849999999999994</c:v>
                </c:pt>
                <c:pt idx="32">
                  <c:v>41.75</c:v>
                </c:pt>
                <c:pt idx="33">
                  <c:v>41.75</c:v>
                </c:pt>
                <c:pt idx="34">
                  <c:v>57</c:v>
                </c:pt>
                <c:pt idx="35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6-4C39-8870-7D63198B10C7}"/>
            </c:ext>
          </c:extLst>
        </c:ser>
        <c:ser>
          <c:idx val="1"/>
          <c:order val="1"/>
          <c:tx>
            <c:strRef>
              <c:f>'pfe peak jan start'!$M$5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start'!$M$6:$M$41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95.550106076950087</c:v>
                </c:pt>
                <c:pt idx="4">
                  <c:v>86.231802368880267</c:v>
                </c:pt>
                <c:pt idx="5">
                  <c:v>106.32668807238943</c:v>
                </c:pt>
                <c:pt idx="6">
                  <c:v>143.61040534908005</c:v>
                </c:pt>
                <c:pt idx="7">
                  <c:v>131.0217376869374</c:v>
                </c:pt>
                <c:pt idx="8">
                  <c:v>96.195331991937195</c:v>
                </c:pt>
                <c:pt idx="9">
                  <c:v>94.468735588822241</c:v>
                </c:pt>
                <c:pt idx="10">
                  <c:v>134.3503672692627</c:v>
                </c:pt>
                <c:pt idx="11">
                  <c:v>228.62656235311565</c:v>
                </c:pt>
                <c:pt idx="12">
                  <c:v>307.0984467883012</c:v>
                </c:pt>
                <c:pt idx="13">
                  <c:v>344.62096905022997</c:v>
                </c:pt>
                <c:pt idx="14">
                  <c:v>130.59507214321195</c:v>
                </c:pt>
                <c:pt idx="15">
                  <c:v>77.973660242748295</c:v>
                </c:pt>
                <c:pt idx="16">
                  <c:v>95.518065917124233</c:v>
                </c:pt>
                <c:pt idx="17">
                  <c:v>91.48345739030546</c:v>
                </c:pt>
                <c:pt idx="18">
                  <c:v>154.69453282784548</c:v>
                </c:pt>
                <c:pt idx="19">
                  <c:v>144.04391957169034</c:v>
                </c:pt>
                <c:pt idx="20">
                  <c:v>78.947065077765672</c:v>
                </c:pt>
                <c:pt idx="21">
                  <c:v>103.49469375415066</c:v>
                </c:pt>
                <c:pt idx="22">
                  <c:v>146.18008417293993</c:v>
                </c:pt>
                <c:pt idx="23">
                  <c:v>185.56593466876328</c:v>
                </c:pt>
                <c:pt idx="24">
                  <c:v>389.70260265566992</c:v>
                </c:pt>
                <c:pt idx="25">
                  <c:v>466.00624236692846</c:v>
                </c:pt>
                <c:pt idx="26">
                  <c:v>152.94891906149627</c:v>
                </c:pt>
                <c:pt idx="27">
                  <c:v>83.546317737947817</c:v>
                </c:pt>
                <c:pt idx="28">
                  <c:v>115.04326893080194</c:v>
                </c:pt>
                <c:pt idx="29">
                  <c:v>99.714259887129401</c:v>
                </c:pt>
                <c:pt idx="30">
                  <c:v>173.25381719258786</c:v>
                </c:pt>
                <c:pt idx="31">
                  <c:v>166.78203659186295</c:v>
                </c:pt>
                <c:pt idx="32">
                  <c:v>84.502023495809723</c:v>
                </c:pt>
                <c:pt idx="33">
                  <c:v>120.17467354262578</c:v>
                </c:pt>
                <c:pt idx="34">
                  <c:v>172.5377889472976</c:v>
                </c:pt>
                <c:pt idx="35">
                  <c:v>207.95767387642562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6-4C39-8870-7D63198B10C7}"/>
            </c:ext>
          </c:extLst>
        </c:ser>
        <c:ser>
          <c:idx val="4"/>
          <c:order val="2"/>
          <c:tx>
            <c:strRef>
              <c:f>'pfe peak jan start'!$L$5</c:f>
              <c:strCache>
                <c:ptCount val="1"/>
                <c:pt idx="0">
                  <c:v>95% upper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start'!$L$6:$L$41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79.378127635571545</c:v>
                </c:pt>
                <c:pt idx="4">
                  <c:v>71.833603002114614</c:v>
                </c:pt>
                <c:pt idx="5">
                  <c:v>90.415414244476793</c:v>
                </c:pt>
                <c:pt idx="6">
                  <c:v>126.11865651083751</c:v>
                </c:pt>
                <c:pt idx="7">
                  <c:v>110.15954657805723</c:v>
                </c:pt>
                <c:pt idx="8">
                  <c:v>79.355154485651838</c:v>
                </c:pt>
                <c:pt idx="9">
                  <c:v>77.381442701885177</c:v>
                </c:pt>
                <c:pt idx="10">
                  <c:v>110.33005006705096</c:v>
                </c:pt>
                <c:pt idx="11">
                  <c:v>184.88931479516947</c:v>
                </c:pt>
                <c:pt idx="12">
                  <c:v>246.45364745913824</c:v>
                </c:pt>
                <c:pt idx="13">
                  <c:v>253.44793398457827</c:v>
                </c:pt>
                <c:pt idx="14">
                  <c:v>109.43300186090188</c:v>
                </c:pt>
                <c:pt idx="15">
                  <c:v>68.780480842617521</c:v>
                </c:pt>
                <c:pt idx="16">
                  <c:v>75.341594380455476</c:v>
                </c:pt>
                <c:pt idx="17">
                  <c:v>79.076401105251605</c:v>
                </c:pt>
                <c:pt idx="18">
                  <c:v>131.35296995636682</c:v>
                </c:pt>
                <c:pt idx="19">
                  <c:v>116.19086634868134</c:v>
                </c:pt>
                <c:pt idx="20">
                  <c:v>67.585643633252943</c:v>
                </c:pt>
                <c:pt idx="21">
                  <c:v>80.889161359312325</c:v>
                </c:pt>
                <c:pt idx="22">
                  <c:v>111.55172111899979</c:v>
                </c:pt>
                <c:pt idx="23">
                  <c:v>152.14891521508977</c:v>
                </c:pt>
                <c:pt idx="24">
                  <c:v>283.44007631203516</c:v>
                </c:pt>
                <c:pt idx="25">
                  <c:v>299.90280414267221</c:v>
                </c:pt>
                <c:pt idx="26">
                  <c:v>118.00397662537031</c:v>
                </c:pt>
                <c:pt idx="27">
                  <c:v>69.218548180428158</c:v>
                </c:pt>
                <c:pt idx="28">
                  <c:v>80.600352582270162</c:v>
                </c:pt>
                <c:pt idx="29">
                  <c:v>80.740112424997335</c:v>
                </c:pt>
                <c:pt idx="30">
                  <c:v>138.45080044715283</c:v>
                </c:pt>
                <c:pt idx="31">
                  <c:v>124.01604966697111</c:v>
                </c:pt>
                <c:pt idx="32">
                  <c:v>67.621928225092745</c:v>
                </c:pt>
                <c:pt idx="33">
                  <c:v>84.772720669650724</c:v>
                </c:pt>
                <c:pt idx="34">
                  <c:v>119.41026228756259</c:v>
                </c:pt>
                <c:pt idx="35">
                  <c:v>160.47112177822407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6-4C39-8870-7D63198B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956116008537531"/>
          <c:y val="0.12368911235587839"/>
          <c:w val="0.16586247985970079"/>
          <c:h val="0.164342132392686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0150737527235847"/>
          <c:w val="0.90080050393700783"/>
          <c:h val="0.78432686360064874"/>
        </c:manualLayout>
      </c:layout>
      <c:lineChart>
        <c:grouping val="standard"/>
        <c:varyColors val="0"/>
        <c:ser>
          <c:idx val="1"/>
          <c:order val="1"/>
          <c:tx>
            <c:strRef>
              <c:f>'pfe peak jan start'!$P$5</c:f>
              <c:strCache>
                <c:ptCount val="1"/>
                <c:pt idx="0">
                  <c:v>99% upside risk P/L</c:v>
                </c:pt>
              </c:strCache>
            </c:strRef>
          </c:tx>
          <c:marker>
            <c:symbol val="none"/>
          </c:marker>
          <c:cat>
            <c:numRef>
              <c:f>'pfe peak jan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jan start'!$P$6:$P$41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1586428.731848232</c:v>
                </c:pt>
                <c:pt idx="4">
                  <c:v>1288258.8126217895</c:v>
                </c:pt>
                <c:pt idx="5">
                  <c:v>2141248.2512255581</c:v>
                </c:pt>
                <c:pt idx="6">
                  <c:v>2563220.8131709192</c:v>
                </c:pt>
                <c:pt idx="7">
                  <c:v>2642769.4536435851</c:v>
                </c:pt>
                <c:pt idx="8">
                  <c:v>1563675.0412067298</c:v>
                </c:pt>
                <c:pt idx="9">
                  <c:v>1648278.1533352851</c:v>
                </c:pt>
                <c:pt idx="10">
                  <c:v>2817002.1006734343</c:v>
                </c:pt>
                <c:pt idx="11">
                  <c:v>5541406.838053328</c:v>
                </c:pt>
                <c:pt idx="12">
                  <c:v>6923335.0173047967</c:v>
                </c:pt>
                <c:pt idx="13">
                  <c:v>9462778.8974887319</c:v>
                </c:pt>
                <c:pt idx="14">
                  <c:v>2924097.5924233319</c:v>
                </c:pt>
                <c:pt idx="15">
                  <c:v>972006.19055770827</c:v>
                </c:pt>
                <c:pt idx="16">
                  <c:v>1693832.7491434182</c:v>
                </c:pt>
                <c:pt idx="17">
                  <c:v>1704206.9476862862</c:v>
                </c:pt>
                <c:pt idx="18">
                  <c:v>2992932.3916207827</c:v>
                </c:pt>
                <c:pt idx="19">
                  <c:v>3518474.6991525083</c:v>
                </c:pt>
                <c:pt idx="20">
                  <c:v>1103783.3595164272</c:v>
                </c:pt>
                <c:pt idx="21">
                  <c:v>1972303.0097156046</c:v>
                </c:pt>
                <c:pt idx="22">
                  <c:v>3923937.2907742681</c:v>
                </c:pt>
                <c:pt idx="23">
                  <c:v>4498435.6465309924</c:v>
                </c:pt>
                <c:pt idx="24">
                  <c:v>11449252.577678572</c:v>
                </c:pt>
                <c:pt idx="25">
                  <c:v>15945106.477417484</c:v>
                </c:pt>
                <c:pt idx="26">
                  <c:v>4389055.8011503275</c:v>
                </c:pt>
                <c:pt idx="27">
                  <c:v>1273584.7224978895</c:v>
                </c:pt>
                <c:pt idx="28">
                  <c:v>2809353.3061891049</c:v>
                </c:pt>
                <c:pt idx="29">
                  <c:v>2407507.4378818222</c:v>
                </c:pt>
                <c:pt idx="30">
                  <c:v>3953835.4988285876</c:v>
                </c:pt>
                <c:pt idx="31">
                  <c:v>5163188.5345917828</c:v>
                </c:pt>
                <c:pt idx="32">
                  <c:v>1440572.1837148045</c:v>
                </c:pt>
                <c:pt idx="33">
                  <c:v>2906888.949530967</c:v>
                </c:pt>
                <c:pt idx="34">
                  <c:v>5450379.6557998173</c:v>
                </c:pt>
                <c:pt idx="35">
                  <c:v>5187282.3719200501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B6-4ABA-99DA-C6E542C6971C}"/>
            </c:ext>
          </c:extLst>
        </c:ser>
        <c:ser>
          <c:idx val="2"/>
          <c:order val="3"/>
          <c:tx>
            <c:strRef>
              <c:f>'pfe peak jan start'!$U$5</c:f>
              <c:strCache>
                <c:ptCount val="1"/>
                <c:pt idx="0">
                  <c:v>95% upside risk P/L</c:v>
                </c:pt>
              </c:strCache>
            </c:strRef>
          </c:tx>
          <c:marker>
            <c:symbol val="none"/>
          </c:marker>
          <c:val>
            <c:numRef>
              <c:f>'pfe peak jan start'!$U$6:$U$41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986998.17894009489</c:v>
                </c:pt>
                <c:pt idx="4">
                  <c:v>803097.0867592541</c:v>
                </c:pt>
                <c:pt idx="5">
                  <c:v>1354897.1873762875</c:v>
                </c:pt>
                <c:pt idx="6">
                  <c:v>1659474.6259454417</c:v>
                </c:pt>
                <c:pt idx="7">
                  <c:v>1658616.4502732719</c:v>
                </c:pt>
                <c:pt idx="8">
                  <c:v>967852.72085684771</c:v>
                </c:pt>
                <c:pt idx="9">
                  <c:v>1014920.555188076</c:v>
                </c:pt>
                <c:pt idx="10">
                  <c:v>1737817.2894124654</c:v>
                </c:pt>
                <c:pt idx="11">
                  <c:v>3379868.3264920702</c:v>
                </c:pt>
                <c:pt idx="12">
                  <c:v>4198685.4730441626</c:v>
                </c:pt>
                <c:pt idx="13">
                  <c:v>5366556.7780591324</c:v>
                </c:pt>
                <c:pt idx="14">
                  <c:v>1830716.9071472175</c:v>
                </c:pt>
                <c:pt idx="15">
                  <c:v>631251.80291246099</c:v>
                </c:pt>
                <c:pt idx="16">
                  <c:v>1013966.3642438278</c:v>
                </c:pt>
                <c:pt idx="17">
                  <c:v>1091037.8190226397</c:v>
                </c:pt>
                <c:pt idx="18">
                  <c:v>1891817.5047216483</c:v>
                </c:pt>
                <c:pt idx="19">
                  <c:v>2141948.9558181809</c:v>
                </c:pt>
                <c:pt idx="20">
                  <c:v>701804.9073881224</c:v>
                </c:pt>
                <c:pt idx="21">
                  <c:v>1172496.6680538293</c:v>
                </c:pt>
                <c:pt idx="22">
                  <c:v>2290378.8920676964</c:v>
                </c:pt>
                <c:pt idx="23">
                  <c:v>2771878.5024180431</c:v>
                </c:pt>
                <c:pt idx="24">
                  <c:v>6436424.1599439466</c:v>
                </c:pt>
                <c:pt idx="25">
                  <c:v>8109342.882626419</c:v>
                </c:pt>
                <c:pt idx="26">
                  <c:v>2583555.4603030081</c:v>
                </c:pt>
                <c:pt idx="27">
                  <c:v>790796.19948770723</c:v>
                </c:pt>
                <c:pt idx="28">
                  <c:v>1532692.1688144258</c:v>
                </c:pt>
                <c:pt idx="29">
                  <c:v>1469786.0961557934</c:v>
                </c:pt>
                <c:pt idx="30">
                  <c:v>2390205.5624896823</c:v>
                </c:pt>
                <c:pt idx="31">
                  <c:v>2953598.2881433968</c:v>
                </c:pt>
                <c:pt idx="32">
                  <c:v>871780.49347272515</c:v>
                </c:pt>
                <c:pt idx="33">
                  <c:v>1594680.1643412737</c:v>
                </c:pt>
                <c:pt idx="34">
                  <c:v>2944141.7131534778</c:v>
                </c:pt>
                <c:pt idx="35">
                  <c:v>3053806.5592520512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B6-4ABA-99DA-C6E542C69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'pfe peak jan start'!$I$5</c15:sqref>
                        </c15:formulaRef>
                      </c:ext>
                    </c:extLst>
                    <c:strCache>
                      <c:ptCount val="1"/>
                      <c:pt idx="0">
                        <c:v>forward curve</c:v>
                      </c:pt>
                    </c:strCache>
                  </c:strRef>
                </c:tx>
                <c:spPr>
                  <a:ln w="19050">
                    <a:solidFill>
                      <a:srgbClr val="000080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'pfe peak jan start'!$H$6:$H$41</c15:sqref>
                        </c15:formulaRef>
                      </c:ext>
                    </c:extLst>
                    <c:numCache>
                      <c:formatCode>yyyy\-mm\-dd;@</c:formatCode>
                      <c:ptCount val="3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  <c:pt idx="12">
                        <c:v>46388</c:v>
                      </c:pt>
                      <c:pt idx="13">
                        <c:v>46419</c:v>
                      </c:pt>
                      <c:pt idx="14">
                        <c:v>46447</c:v>
                      </c:pt>
                      <c:pt idx="15">
                        <c:v>46478</c:v>
                      </c:pt>
                      <c:pt idx="16">
                        <c:v>46508</c:v>
                      </c:pt>
                      <c:pt idx="17">
                        <c:v>46539</c:v>
                      </c:pt>
                      <c:pt idx="18">
                        <c:v>46569</c:v>
                      </c:pt>
                      <c:pt idx="19">
                        <c:v>46600</c:v>
                      </c:pt>
                      <c:pt idx="20">
                        <c:v>46631</c:v>
                      </c:pt>
                      <c:pt idx="21">
                        <c:v>46661</c:v>
                      </c:pt>
                      <c:pt idx="22">
                        <c:v>46692</c:v>
                      </c:pt>
                      <c:pt idx="23">
                        <c:v>46722</c:v>
                      </c:pt>
                      <c:pt idx="24">
                        <c:v>46753</c:v>
                      </c:pt>
                      <c:pt idx="25">
                        <c:v>46784</c:v>
                      </c:pt>
                      <c:pt idx="26">
                        <c:v>46813</c:v>
                      </c:pt>
                      <c:pt idx="27">
                        <c:v>46844</c:v>
                      </c:pt>
                      <c:pt idx="28">
                        <c:v>46874</c:v>
                      </c:pt>
                      <c:pt idx="29">
                        <c:v>46905</c:v>
                      </c:pt>
                      <c:pt idx="30">
                        <c:v>46935</c:v>
                      </c:pt>
                      <c:pt idx="31">
                        <c:v>46966</c:v>
                      </c:pt>
                      <c:pt idx="32">
                        <c:v>46997</c:v>
                      </c:pt>
                      <c:pt idx="33">
                        <c:v>47027</c:v>
                      </c:pt>
                      <c:pt idx="34">
                        <c:v>47058</c:v>
                      </c:pt>
                      <c:pt idx="35">
                        <c:v>47088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'pfe peak jan start'!$I$6:$I$41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6"/>
                      <c:pt idx="3">
                        <c:v>52.75</c:v>
                      </c:pt>
                      <c:pt idx="4">
                        <c:v>48</c:v>
                      </c:pt>
                      <c:pt idx="5">
                        <c:v>63</c:v>
                      </c:pt>
                      <c:pt idx="6">
                        <c:v>94</c:v>
                      </c:pt>
                      <c:pt idx="7">
                        <c:v>75</c:v>
                      </c:pt>
                      <c:pt idx="8">
                        <c:v>52</c:v>
                      </c:pt>
                      <c:pt idx="9">
                        <c:v>50</c:v>
                      </c:pt>
                      <c:pt idx="10">
                        <c:v>71.650000000000006</c:v>
                      </c:pt>
                      <c:pt idx="11">
                        <c:v>116.5</c:v>
                      </c:pt>
                      <c:pt idx="12">
                        <c:v>153</c:v>
                      </c:pt>
                      <c:pt idx="13">
                        <c:v>134</c:v>
                      </c:pt>
                      <c:pt idx="14">
                        <c:v>74</c:v>
                      </c:pt>
                      <c:pt idx="15">
                        <c:v>51.75</c:v>
                      </c:pt>
                      <c:pt idx="16">
                        <c:v>45.25</c:v>
                      </c:pt>
                      <c:pt idx="17">
                        <c:v>57</c:v>
                      </c:pt>
                      <c:pt idx="18">
                        <c:v>91.25</c:v>
                      </c:pt>
                      <c:pt idx="19">
                        <c:v>72.849999999999994</c:v>
                      </c:pt>
                      <c:pt idx="20">
                        <c:v>47.75</c:v>
                      </c:pt>
                      <c:pt idx="21">
                        <c:v>47.75</c:v>
                      </c:pt>
                      <c:pt idx="22">
                        <c:v>63</c:v>
                      </c:pt>
                      <c:pt idx="23">
                        <c:v>98.5</c:v>
                      </c:pt>
                      <c:pt idx="24">
                        <c:v>147</c:v>
                      </c:pt>
                      <c:pt idx="25">
                        <c:v>128</c:v>
                      </c:pt>
                      <c:pt idx="26">
                        <c:v>68</c:v>
                      </c:pt>
                      <c:pt idx="27">
                        <c:v>45.75</c:v>
                      </c:pt>
                      <c:pt idx="28">
                        <c:v>39.25</c:v>
                      </c:pt>
                      <c:pt idx="29">
                        <c:v>51</c:v>
                      </c:pt>
                      <c:pt idx="30">
                        <c:v>85.25</c:v>
                      </c:pt>
                      <c:pt idx="31">
                        <c:v>66.849999999999994</c:v>
                      </c:pt>
                      <c:pt idx="32">
                        <c:v>41.75</c:v>
                      </c:pt>
                      <c:pt idx="33">
                        <c:v>41.75</c:v>
                      </c:pt>
                      <c:pt idx="34">
                        <c:v>57</c:v>
                      </c:pt>
                      <c:pt idx="35">
                        <c:v>92.5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4B6-4ABA-99DA-C6E542C6971C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'pfe peak jan start'!$L$5</c15:sqref>
                        </c15:formulaRef>
                      </c:ext>
                    </c:extLst>
                    <c:strCache>
                      <c:ptCount val="1"/>
                      <c:pt idx="0">
                        <c:v>95% upper</c:v>
                      </c:pt>
                    </c:strCache>
                  </c:strRef>
                </c:tx>
                <c:spPr>
                  <a:ln>
                    <a:prstDash val="dash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'pfe peak jan start'!$H$6:$H$41</c15:sqref>
                        </c15:formulaRef>
                      </c:ext>
                    </c:extLst>
                    <c:numCache>
                      <c:formatCode>yyyy\-mm\-dd;@</c:formatCode>
                      <c:ptCount val="3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  <c:pt idx="12">
                        <c:v>46388</c:v>
                      </c:pt>
                      <c:pt idx="13">
                        <c:v>46419</c:v>
                      </c:pt>
                      <c:pt idx="14">
                        <c:v>46447</c:v>
                      </c:pt>
                      <c:pt idx="15">
                        <c:v>46478</c:v>
                      </c:pt>
                      <c:pt idx="16">
                        <c:v>46508</c:v>
                      </c:pt>
                      <c:pt idx="17">
                        <c:v>46539</c:v>
                      </c:pt>
                      <c:pt idx="18">
                        <c:v>46569</c:v>
                      </c:pt>
                      <c:pt idx="19">
                        <c:v>46600</c:v>
                      </c:pt>
                      <c:pt idx="20">
                        <c:v>46631</c:v>
                      </c:pt>
                      <c:pt idx="21">
                        <c:v>46661</c:v>
                      </c:pt>
                      <c:pt idx="22">
                        <c:v>46692</c:v>
                      </c:pt>
                      <c:pt idx="23">
                        <c:v>46722</c:v>
                      </c:pt>
                      <c:pt idx="24">
                        <c:v>46753</c:v>
                      </c:pt>
                      <c:pt idx="25">
                        <c:v>46784</c:v>
                      </c:pt>
                      <c:pt idx="26">
                        <c:v>46813</c:v>
                      </c:pt>
                      <c:pt idx="27">
                        <c:v>46844</c:v>
                      </c:pt>
                      <c:pt idx="28">
                        <c:v>46874</c:v>
                      </c:pt>
                      <c:pt idx="29">
                        <c:v>46905</c:v>
                      </c:pt>
                      <c:pt idx="30">
                        <c:v>46935</c:v>
                      </c:pt>
                      <c:pt idx="31">
                        <c:v>46966</c:v>
                      </c:pt>
                      <c:pt idx="32">
                        <c:v>46997</c:v>
                      </c:pt>
                      <c:pt idx="33">
                        <c:v>47027</c:v>
                      </c:pt>
                      <c:pt idx="34">
                        <c:v>47058</c:v>
                      </c:pt>
                      <c:pt idx="35">
                        <c:v>47088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'pfe peak jan start'!$L$6:$L$41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79.378127635571545</c:v>
                      </c:pt>
                      <c:pt idx="4">
                        <c:v>71.833603002114614</c:v>
                      </c:pt>
                      <c:pt idx="5">
                        <c:v>90.415414244476793</c:v>
                      </c:pt>
                      <c:pt idx="6">
                        <c:v>126.11865651083751</c:v>
                      </c:pt>
                      <c:pt idx="7">
                        <c:v>110.15954657805723</c:v>
                      </c:pt>
                      <c:pt idx="8">
                        <c:v>79.355154485651838</c:v>
                      </c:pt>
                      <c:pt idx="9">
                        <c:v>77.381442701885177</c:v>
                      </c:pt>
                      <c:pt idx="10">
                        <c:v>110.33005006705096</c:v>
                      </c:pt>
                      <c:pt idx="11">
                        <c:v>184.88931479516947</c:v>
                      </c:pt>
                      <c:pt idx="12">
                        <c:v>246.45364745913824</c:v>
                      </c:pt>
                      <c:pt idx="13">
                        <c:v>253.44793398457827</c:v>
                      </c:pt>
                      <c:pt idx="14">
                        <c:v>109.43300186090188</c:v>
                      </c:pt>
                      <c:pt idx="15">
                        <c:v>68.780480842617521</c:v>
                      </c:pt>
                      <c:pt idx="16">
                        <c:v>75.341594380455476</c:v>
                      </c:pt>
                      <c:pt idx="17">
                        <c:v>79.076401105251605</c:v>
                      </c:pt>
                      <c:pt idx="18">
                        <c:v>131.35296995636682</c:v>
                      </c:pt>
                      <c:pt idx="19">
                        <c:v>116.19086634868134</c:v>
                      </c:pt>
                      <c:pt idx="20">
                        <c:v>67.585643633252943</c:v>
                      </c:pt>
                      <c:pt idx="21">
                        <c:v>80.889161359312325</c:v>
                      </c:pt>
                      <c:pt idx="22">
                        <c:v>111.55172111899979</c:v>
                      </c:pt>
                      <c:pt idx="23">
                        <c:v>152.14891521508977</c:v>
                      </c:pt>
                      <c:pt idx="24">
                        <c:v>283.44007631203516</c:v>
                      </c:pt>
                      <c:pt idx="25">
                        <c:v>299.90280414267221</c:v>
                      </c:pt>
                      <c:pt idx="26">
                        <c:v>118.00397662537031</c:v>
                      </c:pt>
                      <c:pt idx="27">
                        <c:v>69.218548180428158</c:v>
                      </c:pt>
                      <c:pt idx="28">
                        <c:v>80.600352582270162</c:v>
                      </c:pt>
                      <c:pt idx="29">
                        <c:v>80.740112424997335</c:v>
                      </c:pt>
                      <c:pt idx="30">
                        <c:v>138.45080044715283</c:v>
                      </c:pt>
                      <c:pt idx="31">
                        <c:v>124.01604966697111</c:v>
                      </c:pt>
                      <c:pt idx="32">
                        <c:v>67.621928225092745</c:v>
                      </c:pt>
                      <c:pt idx="33">
                        <c:v>84.772720669650724</c:v>
                      </c:pt>
                      <c:pt idx="34">
                        <c:v>119.41026228756259</c:v>
                      </c:pt>
                      <c:pt idx="35">
                        <c:v>160.47112177822407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B6-4ABA-99DA-C6E542C6971C}"/>
                  </c:ext>
                </c:extLst>
              </c15:ser>
            </c15:filteredLineSeries>
          </c:ext>
        </c:extLst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8626103555237414"/>
          <c:y val="0.1463238432775521"/>
          <c:w val="0.1576259630061809"/>
          <c:h val="8.36709064648958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317560829371853"/>
          <c:w val="0.90080050393700783"/>
          <c:h val="0.75407839754296446"/>
        </c:manualLayout>
      </c:layout>
      <c:lineChart>
        <c:grouping val="standard"/>
        <c:varyColors val="0"/>
        <c:ser>
          <c:idx val="0"/>
          <c:order val="0"/>
          <c:tx>
            <c:strRef>
              <c:f>'pfe peak march start'!$I$5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start'!$I$6:$I$41</c:f>
              <c:numCache>
                <c:formatCode>_("$"* #,##0.00_);_("$"* \(#,##0.00\);_("$"* "-"??_);_(@_)</c:formatCode>
                <c:ptCount val="36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98.5</c:v>
                </c:pt>
                <c:pt idx="24">
                  <c:v>147</c:v>
                </c:pt>
                <c:pt idx="25">
                  <c:v>128</c:v>
                </c:pt>
                <c:pt idx="26">
                  <c:v>68</c:v>
                </c:pt>
                <c:pt idx="27">
                  <c:v>45.75</c:v>
                </c:pt>
                <c:pt idx="28">
                  <c:v>39.25</c:v>
                </c:pt>
                <c:pt idx="29">
                  <c:v>51</c:v>
                </c:pt>
                <c:pt idx="30">
                  <c:v>85.25</c:v>
                </c:pt>
                <c:pt idx="31">
                  <c:v>66.849999999999994</c:v>
                </c:pt>
                <c:pt idx="32">
                  <c:v>41.75</c:v>
                </c:pt>
                <c:pt idx="33">
                  <c:v>41.75</c:v>
                </c:pt>
                <c:pt idx="34">
                  <c:v>57</c:v>
                </c:pt>
                <c:pt idx="35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2-48E0-AAF5-B0903A4A9C0B}"/>
            </c:ext>
          </c:extLst>
        </c:ser>
        <c:ser>
          <c:idx val="1"/>
          <c:order val="1"/>
          <c:tx>
            <c:strRef>
              <c:f>'pfe peak march start'!$M$5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start'!$M$6:$M$41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71.648121189593368</c:v>
                </c:pt>
                <c:pt idx="4">
                  <c:v>70.104319655743595</c:v>
                </c:pt>
                <c:pt idx="5">
                  <c:v>91.745685170215793</c:v>
                </c:pt>
                <c:pt idx="6">
                  <c:v>129.92807142330818</c:v>
                </c:pt>
                <c:pt idx="7">
                  <c:v>117.19438405778575</c:v>
                </c:pt>
                <c:pt idx="8">
                  <c:v>86.436852618990628</c:v>
                </c:pt>
                <c:pt idx="9">
                  <c:v>85.63907457301751</c:v>
                </c:pt>
                <c:pt idx="10">
                  <c:v>123.11320679843033</c:v>
                </c:pt>
                <c:pt idx="11">
                  <c:v>210.04852024653184</c:v>
                </c:pt>
                <c:pt idx="12">
                  <c:v>283.46021930192956</c:v>
                </c:pt>
                <c:pt idx="13">
                  <c:v>312.70939733725629</c:v>
                </c:pt>
                <c:pt idx="14">
                  <c:v>123.38099767925279</c:v>
                </c:pt>
                <c:pt idx="15">
                  <c:v>74.996092484219517</c:v>
                </c:pt>
                <c:pt idx="16">
                  <c:v>89.589080034553831</c:v>
                </c:pt>
                <c:pt idx="17">
                  <c:v>87.947239289382651</c:v>
                </c:pt>
                <c:pt idx="18">
                  <c:v>148.43465652848701</c:v>
                </c:pt>
                <c:pt idx="19">
                  <c:v>137.0647974881594</c:v>
                </c:pt>
                <c:pt idx="20">
                  <c:v>76.191269802244022</c:v>
                </c:pt>
                <c:pt idx="21">
                  <c:v>98.405584726490503</c:v>
                </c:pt>
                <c:pt idx="22">
                  <c:v>138.78559349437307</c:v>
                </c:pt>
                <c:pt idx="23">
                  <c:v>178.58105323157596</c:v>
                </c:pt>
                <c:pt idx="24">
                  <c:v>369.18279570108149</c:v>
                </c:pt>
                <c:pt idx="25">
                  <c:v>436.56731338593119</c:v>
                </c:pt>
                <c:pt idx="26">
                  <c:v>146.58580521108061</c:v>
                </c:pt>
                <c:pt idx="27">
                  <c:v>80.97896288861034</c:v>
                </c:pt>
                <c:pt idx="28">
                  <c:v>109.39393880813874</c:v>
                </c:pt>
                <c:pt idx="29">
                  <c:v>96.564666367981928</c:v>
                </c:pt>
                <c:pt idx="30">
                  <c:v>167.68660649553101</c:v>
                </c:pt>
                <c:pt idx="31">
                  <c:v>160.30130186981523</c:v>
                </c:pt>
                <c:pt idx="32">
                  <c:v>81.966534041859646</c:v>
                </c:pt>
                <c:pt idx="33">
                  <c:v>115.21719696700653</c:v>
                </c:pt>
                <c:pt idx="34">
                  <c:v>165.36144823330415</c:v>
                </c:pt>
                <c:pt idx="35">
                  <c:v>201.49482750606657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2-48E0-AAF5-B0903A4A9C0B}"/>
            </c:ext>
          </c:extLst>
        </c:ser>
        <c:ser>
          <c:idx val="2"/>
          <c:order val="2"/>
          <c:tx>
            <c:strRef>
              <c:f>'pfe peak march start'!$J$5</c:f>
              <c:strCache>
                <c:ptCount val="1"/>
                <c:pt idx="0">
                  <c:v>99% lower</c:v>
                </c:pt>
              </c:strCache>
            </c:strRef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start'!$J$6:$J$41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38.13152250172481</c:v>
                </c:pt>
                <c:pt idx="4">
                  <c:v>31.943443014032191</c:v>
                </c:pt>
                <c:pt idx="5">
                  <c:v>42.066372181776195</c:v>
                </c:pt>
                <c:pt idx="6">
                  <c:v>66.624021647913111</c:v>
                </c:pt>
                <c:pt idx="7">
                  <c:v>46.112187797179494</c:v>
                </c:pt>
                <c:pt idx="8">
                  <c:v>29.679399884896618</c:v>
                </c:pt>
                <c:pt idx="9">
                  <c:v>27.509087812399287</c:v>
                </c:pt>
                <c:pt idx="10">
                  <c:v>39.265474563975062</c:v>
                </c:pt>
                <c:pt idx="11">
                  <c:v>60.122299298128304</c:v>
                </c:pt>
                <c:pt idx="12">
                  <c:v>76.283969993472297</c:v>
                </c:pt>
                <c:pt idx="13">
                  <c:v>49.023068100139376</c:v>
                </c:pt>
                <c:pt idx="14">
                  <c:v>42.079737463112203</c:v>
                </c:pt>
                <c:pt idx="15">
                  <c:v>34.749365444604315</c:v>
                </c:pt>
                <c:pt idx="16">
                  <c:v>20.704580845669561</c:v>
                </c:pt>
                <c:pt idx="17">
                  <c:v>35.574942044383761</c:v>
                </c:pt>
                <c:pt idx="18">
                  <c:v>53.466098134119051</c:v>
                </c:pt>
                <c:pt idx="19">
                  <c:v>35.612799886836434</c:v>
                </c:pt>
                <c:pt idx="20">
                  <c:v>28.634369206870858</c:v>
                </c:pt>
                <c:pt idx="21">
                  <c:v>20.719557089830467</c:v>
                </c:pt>
                <c:pt idx="22">
                  <c:v>24.975363331091071</c:v>
                </c:pt>
                <c:pt idx="23">
                  <c:v>50.478964546876412</c:v>
                </c:pt>
                <c:pt idx="24">
                  <c:v>48.398300251777243</c:v>
                </c:pt>
                <c:pt idx="25">
                  <c:v>26.020902372749028</c:v>
                </c:pt>
                <c:pt idx="26">
                  <c:v>27.769798010419322</c:v>
                </c:pt>
                <c:pt idx="27">
                  <c:v>24.163560253782279</c:v>
                </c:pt>
                <c:pt idx="28">
                  <c:v>11.056923591487546</c:v>
                </c:pt>
                <c:pt idx="29">
                  <c:v>24.729214721657275</c:v>
                </c:pt>
                <c:pt idx="30">
                  <c:v>39.341688402845776</c:v>
                </c:pt>
                <c:pt idx="31">
                  <c:v>23.530826666334541</c:v>
                </c:pt>
                <c:pt idx="32">
                  <c:v>19.314900403384996</c:v>
                </c:pt>
                <c:pt idx="33">
                  <c:v>11.940573425827044</c:v>
                </c:pt>
                <c:pt idx="34">
                  <c:v>15.089839437641309</c:v>
                </c:pt>
                <c:pt idx="35">
                  <c:v>37.239962716376517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92-48E0-AAF5-B0903A4A9C0B}"/>
            </c:ext>
          </c:extLst>
        </c:ser>
        <c:ser>
          <c:idx val="3"/>
          <c:order val="3"/>
          <c:tx>
            <c:strRef>
              <c:f>'pfe peak march start'!$K$5</c:f>
              <c:strCache>
                <c:ptCount val="1"/>
                <c:pt idx="0">
                  <c:v>95% lower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start'!$K$6:$K$41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41.835918419226239</c:v>
                </c:pt>
                <c:pt idx="4">
                  <c:v>35.855900046104452</c:v>
                </c:pt>
                <c:pt idx="5">
                  <c:v>47.175362172635602</c:v>
                </c:pt>
                <c:pt idx="6">
                  <c:v>73.497100342623455</c:v>
                </c:pt>
                <c:pt idx="7">
                  <c:v>52.888637254387824</c:v>
                </c:pt>
                <c:pt idx="8">
                  <c:v>34.729374845924674</c:v>
                </c:pt>
                <c:pt idx="9">
                  <c:v>32.506772511071276</c:v>
                </c:pt>
                <c:pt idx="10">
                  <c:v>46.447667363140638</c:v>
                </c:pt>
                <c:pt idx="11">
                  <c:v>72.259675044608386</c:v>
                </c:pt>
                <c:pt idx="12">
                  <c:v>92.518692882575635</c:v>
                </c:pt>
                <c:pt idx="13">
                  <c:v>64.371537093668891</c:v>
                </c:pt>
                <c:pt idx="14">
                  <c:v>49.288520171628178</c:v>
                </c:pt>
                <c:pt idx="15">
                  <c:v>38.909614935203827</c:v>
                </c:pt>
                <c:pt idx="16">
                  <c:v>25.679315411659431</c:v>
                </c:pt>
                <c:pt idx="17">
                  <c:v>40.637312781302597</c:v>
                </c:pt>
                <c:pt idx="18">
                  <c:v>62.124762373096345</c:v>
                </c:pt>
                <c:pt idx="19">
                  <c:v>43.415581197807725</c:v>
                </c:pt>
                <c:pt idx="20">
                  <c:v>33.064608298316791</c:v>
                </c:pt>
                <c:pt idx="21">
                  <c:v>26.052148045279036</c:v>
                </c:pt>
                <c:pt idx="22">
                  <c:v>32.136531852725028</c:v>
                </c:pt>
                <c:pt idx="23">
                  <c:v>60.78139302592696</c:v>
                </c:pt>
                <c:pt idx="24">
                  <c:v>65.24403169078586</c:v>
                </c:pt>
                <c:pt idx="25">
                  <c:v>39.38693984683438</c:v>
                </c:pt>
                <c:pt idx="26">
                  <c:v>35.463364979751162</c:v>
                </c:pt>
                <c:pt idx="27">
                  <c:v>28.864545836185105</c:v>
                </c:pt>
                <c:pt idx="28">
                  <c:v>15.486304785057891</c:v>
                </c:pt>
                <c:pt idx="29">
                  <c:v>30.211629528249524</c:v>
                </c:pt>
                <c:pt idx="30">
                  <c:v>48.686456077223419</c:v>
                </c:pt>
                <c:pt idx="31">
                  <c:v>31.198138982611297</c:v>
                </c:pt>
                <c:pt idx="32">
                  <c:v>23.887360362179088</c:v>
                </c:pt>
                <c:pt idx="33">
                  <c:v>16.662543651999485</c:v>
                </c:pt>
                <c:pt idx="34">
                  <c:v>21.454744876484302</c:v>
                </c:pt>
                <c:pt idx="35">
                  <c:v>47.73033979820574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92-48E0-AAF5-B0903A4A9C0B}"/>
            </c:ext>
          </c:extLst>
        </c:ser>
        <c:ser>
          <c:idx val="4"/>
          <c:order val="4"/>
          <c:tx>
            <c:strRef>
              <c:f>'pfe peak march start'!$L$5</c:f>
              <c:strCache>
                <c:ptCount val="1"/>
                <c:pt idx="0">
                  <c:v>95% upper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start'!$L$6:$L$41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65.303979178134526</c:v>
                </c:pt>
                <c:pt idx="4">
                  <c:v>62.454807635041867</c:v>
                </c:pt>
                <c:pt idx="5">
                  <c:v>81.809825313456528</c:v>
                </c:pt>
                <c:pt idx="6">
                  <c:v>117.77785249791665</c:v>
                </c:pt>
                <c:pt idx="7">
                  <c:v>102.17864794765636</c:v>
                </c:pt>
                <c:pt idx="8">
                  <c:v>73.868128207091331</c:v>
                </c:pt>
                <c:pt idx="9">
                  <c:v>72.472676941378438</c:v>
                </c:pt>
                <c:pt idx="10">
                  <c:v>104.07623815075269</c:v>
                </c:pt>
                <c:pt idx="11">
                  <c:v>174.7669082872969</c:v>
                </c:pt>
                <c:pt idx="12">
                  <c:v>233.7200212179381</c:v>
                </c:pt>
                <c:pt idx="13">
                  <c:v>238.14833035462195</c:v>
                </c:pt>
                <c:pt idx="14">
                  <c:v>105.3356840944147</c:v>
                </c:pt>
                <c:pt idx="15">
                  <c:v>66.977445780210587</c:v>
                </c:pt>
                <c:pt idx="16">
                  <c:v>72.233403450560047</c:v>
                </c:pt>
                <c:pt idx="17">
                  <c:v>76.991260655475102</c:v>
                </c:pt>
                <c:pt idx="18">
                  <c:v>127.74651538777057</c:v>
                </c:pt>
                <c:pt idx="19">
                  <c:v>112.43109201362164</c:v>
                </c:pt>
                <c:pt idx="20">
                  <c:v>65.982603821404652</c:v>
                </c:pt>
                <c:pt idx="21">
                  <c:v>78.263033326656753</c:v>
                </c:pt>
                <c:pt idx="22">
                  <c:v>107.85920019397356</c:v>
                </c:pt>
                <c:pt idx="23">
                  <c:v>148.31161653329173</c:v>
                </c:pt>
                <c:pt idx="24">
                  <c:v>273.86136832888087</c:v>
                </c:pt>
                <c:pt idx="25">
                  <c:v>288.41731510303327</c:v>
                </c:pt>
                <c:pt idx="26">
                  <c:v>114.78488305412195</c:v>
                </c:pt>
                <c:pt idx="27">
                  <c:v>67.790432600354009</c:v>
                </c:pt>
                <c:pt idx="28">
                  <c:v>78.105167085469631</c:v>
                </c:pt>
                <c:pt idx="29">
                  <c:v>79.041362760858064</c:v>
                </c:pt>
                <c:pt idx="30">
                  <c:v>135.50122053685584</c:v>
                </c:pt>
                <c:pt idx="31">
                  <c:v>120.90535755317897</c:v>
                </c:pt>
                <c:pt idx="32">
                  <c:v>66.27670104294279</c:v>
                </c:pt>
                <c:pt idx="33">
                  <c:v>82.565989265236141</c:v>
                </c:pt>
                <c:pt idx="34">
                  <c:v>116.30423560763799</c:v>
                </c:pt>
                <c:pt idx="35">
                  <c:v>157.20943734305263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92-48E0-AAF5-B0903A4A9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10952040085901"/>
          <c:y val="0.16186382296618518"/>
          <c:w val="0.16586247985970079"/>
          <c:h val="0.24643700787401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1"/>
          <c:w val="0.90080050393700783"/>
          <c:h val="0.77583438320209974"/>
        </c:manualLayout>
      </c:layout>
      <c:lineChart>
        <c:grouping val="standard"/>
        <c:varyColors val="0"/>
        <c:ser>
          <c:idx val="0"/>
          <c:order val="0"/>
          <c:tx>
            <c:strRef>
              <c:f>'pfe peak march start'!$I$5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march start'!$H$6:$H$22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march start'!$I$6:$I$23</c:f>
              <c:numCache>
                <c:formatCode>_("$"* #,##0.00_);_("$"* \(#,##0.00\);_("$"* "-"??_);_(@_)</c:formatCode>
                <c:ptCount val="18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C-4647-AD37-481401FF44A7}"/>
            </c:ext>
          </c:extLst>
        </c:ser>
        <c:ser>
          <c:idx val="1"/>
          <c:order val="1"/>
          <c:tx>
            <c:strRef>
              <c:f>'pfe peak march start'!$M$5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march start'!$H$6:$H$22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march start'!$M$6:$M$33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71.648121189593368</c:v>
                </c:pt>
                <c:pt idx="4">
                  <c:v>70.104319655743595</c:v>
                </c:pt>
                <c:pt idx="5">
                  <c:v>91.745685170215793</c:v>
                </c:pt>
                <c:pt idx="6">
                  <c:v>129.92807142330818</c:v>
                </c:pt>
                <c:pt idx="7">
                  <c:v>117.19438405778575</c:v>
                </c:pt>
                <c:pt idx="8">
                  <c:v>86.436852618990628</c:v>
                </c:pt>
                <c:pt idx="9">
                  <c:v>85.63907457301751</c:v>
                </c:pt>
                <c:pt idx="10">
                  <c:v>123.11320679843033</c:v>
                </c:pt>
                <c:pt idx="11">
                  <c:v>210.04852024653184</c:v>
                </c:pt>
                <c:pt idx="12">
                  <c:v>283.46021930192956</c:v>
                </c:pt>
                <c:pt idx="13">
                  <c:v>312.70939733725629</c:v>
                </c:pt>
                <c:pt idx="14">
                  <c:v>123.38099767925279</c:v>
                </c:pt>
                <c:pt idx="15">
                  <c:v>74.996092484219517</c:v>
                </c:pt>
                <c:pt idx="16">
                  <c:v>89.589080034553831</c:v>
                </c:pt>
                <c:pt idx="17">
                  <c:v>87.947239289382651</c:v>
                </c:pt>
                <c:pt idx="18">
                  <c:v>148.43465652848701</c:v>
                </c:pt>
                <c:pt idx="19">
                  <c:v>137.0647974881594</c:v>
                </c:pt>
                <c:pt idx="20">
                  <c:v>76.191269802244022</c:v>
                </c:pt>
                <c:pt idx="21">
                  <c:v>98.405584726490503</c:v>
                </c:pt>
                <c:pt idx="22">
                  <c:v>138.78559349437307</c:v>
                </c:pt>
                <c:pt idx="23">
                  <c:v>178.58105323157596</c:v>
                </c:pt>
                <c:pt idx="24">
                  <c:v>369.18279570108149</c:v>
                </c:pt>
                <c:pt idx="25">
                  <c:v>436.56731338593119</c:v>
                </c:pt>
                <c:pt idx="26">
                  <c:v>146.58580521108061</c:v>
                </c:pt>
                <c:pt idx="27">
                  <c:v>80.97896288861034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FC-4647-AD37-481401FF44A7}"/>
            </c:ext>
          </c:extLst>
        </c:ser>
        <c:ser>
          <c:idx val="2"/>
          <c:order val="2"/>
          <c:tx>
            <c:strRef>
              <c:f>'pfe peak march start'!$J$5</c:f>
              <c:strCache>
                <c:ptCount val="1"/>
                <c:pt idx="0">
                  <c:v>99% lower</c:v>
                </c:pt>
              </c:strCache>
            </c:strRef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'pfe peak march start'!$H$6:$H$22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march start'!$J$6:$J$33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38.13152250172481</c:v>
                </c:pt>
                <c:pt idx="4">
                  <c:v>31.943443014032191</c:v>
                </c:pt>
                <c:pt idx="5">
                  <c:v>42.066372181776195</c:v>
                </c:pt>
                <c:pt idx="6">
                  <c:v>66.624021647913111</c:v>
                </c:pt>
                <c:pt idx="7">
                  <c:v>46.112187797179494</c:v>
                </c:pt>
                <c:pt idx="8">
                  <c:v>29.679399884896618</c:v>
                </c:pt>
                <c:pt idx="9">
                  <c:v>27.509087812399287</c:v>
                </c:pt>
                <c:pt idx="10">
                  <c:v>39.265474563975062</c:v>
                </c:pt>
                <c:pt idx="11">
                  <c:v>60.122299298128304</c:v>
                </c:pt>
                <c:pt idx="12">
                  <c:v>76.283969993472297</c:v>
                </c:pt>
                <c:pt idx="13">
                  <c:v>49.023068100139376</c:v>
                </c:pt>
                <c:pt idx="14">
                  <c:v>42.079737463112203</c:v>
                </c:pt>
                <c:pt idx="15">
                  <c:v>34.749365444604315</c:v>
                </c:pt>
                <c:pt idx="16">
                  <c:v>20.704580845669561</c:v>
                </c:pt>
                <c:pt idx="17">
                  <c:v>35.574942044383761</c:v>
                </c:pt>
                <c:pt idx="18">
                  <c:v>53.466098134119051</c:v>
                </c:pt>
                <c:pt idx="19">
                  <c:v>35.612799886836434</c:v>
                </c:pt>
                <c:pt idx="20">
                  <c:v>28.634369206870858</c:v>
                </c:pt>
                <c:pt idx="21">
                  <c:v>20.719557089830467</c:v>
                </c:pt>
                <c:pt idx="22">
                  <c:v>24.975363331091071</c:v>
                </c:pt>
                <c:pt idx="23">
                  <c:v>50.478964546876412</c:v>
                </c:pt>
                <c:pt idx="24">
                  <c:v>48.398300251777243</c:v>
                </c:pt>
                <c:pt idx="25">
                  <c:v>26.020902372749028</c:v>
                </c:pt>
                <c:pt idx="26">
                  <c:v>27.769798010419322</c:v>
                </c:pt>
                <c:pt idx="27">
                  <c:v>24.163560253782279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C-4647-AD37-481401FF44A7}"/>
            </c:ext>
          </c:extLst>
        </c:ser>
        <c:ser>
          <c:idx val="3"/>
          <c:order val="3"/>
          <c:tx>
            <c:strRef>
              <c:f>pfe!#REF!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pfe!#REF!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FC-4647-AD37-481401FF44A7}"/>
            </c:ext>
          </c:extLst>
        </c:ser>
        <c:ser>
          <c:idx val="4"/>
          <c:order val="4"/>
          <c:tx>
            <c:strRef>
              <c:f>pfe!#REF!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pfe!#REF!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FC-4647-AD37-481401FF4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solidFill>
          <a:schemeClr val="bg2">
            <a:lumMod val="90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573400524934379"/>
          <c:y val="1.5000524934383202E-2"/>
          <c:w val="0.23700383605895417"/>
          <c:h val="0.24643700787401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0150737527235847"/>
          <c:w val="0.90080050393700783"/>
          <c:h val="0.78432686360064874"/>
        </c:manualLayout>
      </c:layout>
      <c:lineChart>
        <c:grouping val="standard"/>
        <c:varyColors val="0"/>
        <c:ser>
          <c:idx val="0"/>
          <c:order val="0"/>
          <c:tx>
            <c:strRef>
              <c:f>'pfe peak march start'!$I$5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start'!$I$6:$I$41</c:f>
              <c:numCache>
                <c:formatCode>_("$"* #,##0.00_);_("$"* \(#,##0.00\);_("$"* "-"??_);_(@_)</c:formatCode>
                <c:ptCount val="36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98.5</c:v>
                </c:pt>
                <c:pt idx="24">
                  <c:v>147</c:v>
                </c:pt>
                <c:pt idx="25">
                  <c:v>128</c:v>
                </c:pt>
                <c:pt idx="26">
                  <c:v>68</c:v>
                </c:pt>
                <c:pt idx="27">
                  <c:v>45.75</c:v>
                </c:pt>
                <c:pt idx="28">
                  <c:v>39.25</c:v>
                </c:pt>
                <c:pt idx="29">
                  <c:v>51</c:v>
                </c:pt>
                <c:pt idx="30">
                  <c:v>85.25</c:v>
                </c:pt>
                <c:pt idx="31">
                  <c:v>66.849999999999994</c:v>
                </c:pt>
                <c:pt idx="32">
                  <c:v>41.75</c:v>
                </c:pt>
                <c:pt idx="33">
                  <c:v>41.75</c:v>
                </c:pt>
                <c:pt idx="34">
                  <c:v>57</c:v>
                </c:pt>
                <c:pt idx="35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2-46F8-A6C5-1A0B712A6BD1}"/>
            </c:ext>
          </c:extLst>
        </c:ser>
        <c:ser>
          <c:idx val="1"/>
          <c:order val="1"/>
          <c:tx>
            <c:strRef>
              <c:f>'pfe peak march start'!$M$5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start'!$M$6:$M$41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71.648121189593368</c:v>
                </c:pt>
                <c:pt idx="4">
                  <c:v>70.104319655743595</c:v>
                </c:pt>
                <c:pt idx="5">
                  <c:v>91.745685170215793</c:v>
                </c:pt>
                <c:pt idx="6">
                  <c:v>129.92807142330818</c:v>
                </c:pt>
                <c:pt idx="7">
                  <c:v>117.19438405778575</c:v>
                </c:pt>
                <c:pt idx="8">
                  <c:v>86.436852618990628</c:v>
                </c:pt>
                <c:pt idx="9">
                  <c:v>85.63907457301751</c:v>
                </c:pt>
                <c:pt idx="10">
                  <c:v>123.11320679843033</c:v>
                </c:pt>
                <c:pt idx="11">
                  <c:v>210.04852024653184</c:v>
                </c:pt>
                <c:pt idx="12">
                  <c:v>283.46021930192956</c:v>
                </c:pt>
                <c:pt idx="13">
                  <c:v>312.70939733725629</c:v>
                </c:pt>
                <c:pt idx="14">
                  <c:v>123.38099767925279</c:v>
                </c:pt>
                <c:pt idx="15">
                  <c:v>74.996092484219517</c:v>
                </c:pt>
                <c:pt idx="16">
                  <c:v>89.589080034553831</c:v>
                </c:pt>
                <c:pt idx="17">
                  <c:v>87.947239289382651</c:v>
                </c:pt>
                <c:pt idx="18">
                  <c:v>148.43465652848701</c:v>
                </c:pt>
                <c:pt idx="19">
                  <c:v>137.0647974881594</c:v>
                </c:pt>
                <c:pt idx="20">
                  <c:v>76.191269802244022</c:v>
                </c:pt>
                <c:pt idx="21">
                  <c:v>98.405584726490503</c:v>
                </c:pt>
                <c:pt idx="22">
                  <c:v>138.78559349437307</c:v>
                </c:pt>
                <c:pt idx="23">
                  <c:v>178.58105323157596</c:v>
                </c:pt>
                <c:pt idx="24">
                  <c:v>369.18279570108149</c:v>
                </c:pt>
                <c:pt idx="25">
                  <c:v>436.56731338593119</c:v>
                </c:pt>
                <c:pt idx="26">
                  <c:v>146.58580521108061</c:v>
                </c:pt>
                <c:pt idx="27">
                  <c:v>80.97896288861034</c:v>
                </c:pt>
                <c:pt idx="28">
                  <c:v>109.39393880813874</c:v>
                </c:pt>
                <c:pt idx="29">
                  <c:v>96.564666367981928</c:v>
                </c:pt>
                <c:pt idx="30">
                  <c:v>167.68660649553101</c:v>
                </c:pt>
                <c:pt idx="31">
                  <c:v>160.30130186981523</c:v>
                </c:pt>
                <c:pt idx="32">
                  <c:v>81.966534041859646</c:v>
                </c:pt>
                <c:pt idx="33">
                  <c:v>115.21719696700653</c:v>
                </c:pt>
                <c:pt idx="34">
                  <c:v>165.36144823330415</c:v>
                </c:pt>
                <c:pt idx="35">
                  <c:v>201.49482750606657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2-46F8-A6C5-1A0B712A6BD1}"/>
            </c:ext>
          </c:extLst>
        </c:ser>
        <c:ser>
          <c:idx val="4"/>
          <c:order val="2"/>
          <c:tx>
            <c:strRef>
              <c:f>'pfe peak march start'!$L$5</c:f>
              <c:strCache>
                <c:ptCount val="1"/>
                <c:pt idx="0">
                  <c:v>95% upper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start'!$L$6:$L$41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65.303979178134526</c:v>
                </c:pt>
                <c:pt idx="4">
                  <c:v>62.454807635041867</c:v>
                </c:pt>
                <c:pt idx="5">
                  <c:v>81.809825313456528</c:v>
                </c:pt>
                <c:pt idx="6">
                  <c:v>117.77785249791665</c:v>
                </c:pt>
                <c:pt idx="7">
                  <c:v>102.17864794765636</c:v>
                </c:pt>
                <c:pt idx="8">
                  <c:v>73.868128207091331</c:v>
                </c:pt>
                <c:pt idx="9">
                  <c:v>72.472676941378438</c:v>
                </c:pt>
                <c:pt idx="10">
                  <c:v>104.07623815075269</c:v>
                </c:pt>
                <c:pt idx="11">
                  <c:v>174.7669082872969</c:v>
                </c:pt>
                <c:pt idx="12">
                  <c:v>233.7200212179381</c:v>
                </c:pt>
                <c:pt idx="13">
                  <c:v>238.14833035462195</c:v>
                </c:pt>
                <c:pt idx="14">
                  <c:v>105.3356840944147</c:v>
                </c:pt>
                <c:pt idx="15">
                  <c:v>66.977445780210587</c:v>
                </c:pt>
                <c:pt idx="16">
                  <c:v>72.233403450560047</c:v>
                </c:pt>
                <c:pt idx="17">
                  <c:v>76.991260655475102</c:v>
                </c:pt>
                <c:pt idx="18">
                  <c:v>127.74651538777057</c:v>
                </c:pt>
                <c:pt idx="19">
                  <c:v>112.43109201362164</c:v>
                </c:pt>
                <c:pt idx="20">
                  <c:v>65.982603821404652</c:v>
                </c:pt>
                <c:pt idx="21">
                  <c:v>78.263033326656753</c:v>
                </c:pt>
                <c:pt idx="22">
                  <c:v>107.85920019397356</c:v>
                </c:pt>
                <c:pt idx="23">
                  <c:v>148.31161653329173</c:v>
                </c:pt>
                <c:pt idx="24">
                  <c:v>273.86136832888087</c:v>
                </c:pt>
                <c:pt idx="25">
                  <c:v>288.41731510303327</c:v>
                </c:pt>
                <c:pt idx="26">
                  <c:v>114.78488305412195</c:v>
                </c:pt>
                <c:pt idx="27">
                  <c:v>67.790432600354009</c:v>
                </c:pt>
                <c:pt idx="28">
                  <c:v>78.105167085469631</c:v>
                </c:pt>
                <c:pt idx="29">
                  <c:v>79.041362760858064</c:v>
                </c:pt>
                <c:pt idx="30">
                  <c:v>135.50122053685584</c:v>
                </c:pt>
                <c:pt idx="31">
                  <c:v>120.90535755317897</c:v>
                </c:pt>
                <c:pt idx="32">
                  <c:v>66.27670104294279</c:v>
                </c:pt>
                <c:pt idx="33">
                  <c:v>82.565989265236141</c:v>
                </c:pt>
                <c:pt idx="34">
                  <c:v>116.30423560763799</c:v>
                </c:pt>
                <c:pt idx="35">
                  <c:v>157.20943734305263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2-46F8-A6C5-1A0B712A6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956116008537531"/>
          <c:y val="0.12368911235587839"/>
          <c:w val="0.16586247985970079"/>
          <c:h val="0.164342132392686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0150737527235847"/>
          <c:w val="0.90080050393700783"/>
          <c:h val="0.78432686360064874"/>
        </c:manualLayout>
      </c:layout>
      <c:lineChart>
        <c:grouping val="standard"/>
        <c:varyColors val="0"/>
        <c:ser>
          <c:idx val="1"/>
          <c:order val="1"/>
          <c:tx>
            <c:strRef>
              <c:f>'pfe peak march start'!$P$5</c:f>
              <c:strCache>
                <c:ptCount val="1"/>
                <c:pt idx="0">
                  <c:v>99% upside risk P/L</c:v>
                </c:pt>
              </c:strCache>
            </c:strRef>
          </c:tx>
          <c:marker>
            <c:symbol val="none"/>
          </c:marker>
          <c:cat>
            <c:numRef>
              <c:f>'pfe peak march start'!$H$6:$H$41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start'!$P$6:$P$41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700477.76001346775</c:v>
                </c:pt>
                <c:pt idx="4">
                  <c:v>744827.15511993621</c:v>
                </c:pt>
                <c:pt idx="5">
                  <c:v>1420640.5067972348</c:v>
                </c:pt>
                <c:pt idx="6">
                  <c:v>1856295.6662280639</c:v>
                </c:pt>
                <c:pt idx="7">
                  <c:v>1990477.8735419852</c:v>
                </c:pt>
                <c:pt idx="8">
                  <c:v>1218410.2825125074</c:v>
                </c:pt>
                <c:pt idx="9">
                  <c:v>1320997.9381234669</c:v>
                </c:pt>
                <c:pt idx="10">
                  <c:v>2312138.9550398774</c:v>
                </c:pt>
                <c:pt idx="11">
                  <c:v>4623261.4191038497</c:v>
                </c:pt>
                <c:pt idx="12">
                  <c:v>5861316.7327970909</c:v>
                </c:pt>
                <c:pt idx="13">
                  <c:v>8029055.8035682505</c:v>
                </c:pt>
                <c:pt idx="14">
                  <c:v>2551368.0070939539</c:v>
                </c:pt>
                <c:pt idx="15">
                  <c:v>861639.66402008059</c:v>
                </c:pt>
                <c:pt idx="16">
                  <c:v>1494049.640844326</c:v>
                </c:pt>
                <c:pt idx="17">
                  <c:v>1529443.5129205801</c:v>
                </c:pt>
                <c:pt idx="18">
                  <c:v>2697628.9870748464</c:v>
                </c:pt>
                <c:pt idx="19">
                  <c:v>3173559.5066623259</c:v>
                </c:pt>
                <c:pt idx="20">
                  <c:v>1006280.5668731958</c:v>
                </c:pt>
                <c:pt idx="21">
                  <c:v>1792245.2432079604</c:v>
                </c:pt>
                <c:pt idx="22">
                  <c:v>3575109.5875035552</c:v>
                </c:pt>
                <c:pt idx="23">
                  <c:v>4137547.7773158355</c:v>
                </c:pt>
                <c:pt idx="24">
                  <c:v>10481251.204402817</c:v>
                </c:pt>
                <c:pt idx="25">
                  <c:v>14556354.441667918</c:v>
                </c:pt>
                <c:pt idx="26">
                  <c:v>4060292.7978409021</c:v>
                </c:pt>
                <c:pt idx="27">
                  <c:v>1187075.1334946139</c:v>
                </c:pt>
                <c:pt idx="28">
                  <c:v>2599955.2358624707</c:v>
                </c:pt>
                <c:pt idx="29">
                  <c:v>2251851.3765720348</c:v>
                </c:pt>
                <c:pt idx="30">
                  <c:v>3703711.8566312171</c:v>
                </c:pt>
                <c:pt idx="31">
                  <c:v>4828348.4137077443</c:v>
                </c:pt>
                <c:pt idx="32">
                  <c:v>1355136.3310745026</c:v>
                </c:pt>
                <c:pt idx="33">
                  <c:v>2723135.1227790639</c:v>
                </c:pt>
                <c:pt idx="34">
                  <c:v>5111842.95895789</c:v>
                </c:pt>
                <c:pt idx="35">
                  <c:v>4896919.6101925587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E-459A-8545-368A4CFB351E}"/>
            </c:ext>
          </c:extLst>
        </c:ser>
        <c:ser>
          <c:idx val="2"/>
          <c:order val="3"/>
          <c:tx>
            <c:strRef>
              <c:f>'pfe peak march start'!$U$5</c:f>
              <c:strCache>
                <c:ptCount val="1"/>
                <c:pt idx="0">
                  <c:v>95% upside risk P/L</c:v>
                </c:pt>
              </c:strCache>
            </c:strRef>
          </c:tx>
          <c:marker>
            <c:symbol val="none"/>
          </c:marker>
          <c:val>
            <c:numRef>
              <c:f>'pfe peak march start'!$U$6:$U$41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465325.79221673432</c:v>
                </c:pt>
                <c:pt idx="4">
                  <c:v>487069.19807037077</c:v>
                </c:pt>
                <c:pt idx="5">
                  <c:v>929600.37681633513</c:v>
                </c:pt>
                <c:pt idx="6">
                  <c:v>1228530.3050098598</c:v>
                </c:pt>
                <c:pt idx="7">
                  <c:v>1282125.5382827411</c:v>
                </c:pt>
                <c:pt idx="8">
                  <c:v>773716.24409509834</c:v>
                </c:pt>
                <c:pt idx="9">
                  <c:v>832972.24350913323</c:v>
                </c:pt>
                <c:pt idx="10">
                  <c:v>1456846.0276370165</c:v>
                </c:pt>
                <c:pt idx="11">
                  <c:v>2879608.8744665002</c:v>
                </c:pt>
                <c:pt idx="12">
                  <c:v>3626589.1132795229</c:v>
                </c:pt>
                <c:pt idx="13">
                  <c:v>4679176.1861724546</c:v>
                </c:pt>
                <c:pt idx="14">
                  <c:v>1619020.7901061245</c:v>
                </c:pt>
                <c:pt idx="15">
                  <c:v>564420.50528928568</c:v>
                </c:pt>
                <c:pt idx="16">
                  <c:v>909232.76267007133</c:v>
                </c:pt>
                <c:pt idx="17">
                  <c:v>987988.09285423497</c:v>
                </c:pt>
                <c:pt idx="18">
                  <c:v>1721686.616902689</c:v>
                </c:pt>
                <c:pt idx="19">
                  <c:v>1956137.1484051952</c:v>
                </c:pt>
                <c:pt idx="20">
                  <c:v>645087.75580511801</c:v>
                </c:pt>
                <c:pt idx="21">
                  <c:v>1079581.6321304427</c:v>
                </c:pt>
                <c:pt idx="22">
                  <c:v>2116187.9099505087</c:v>
                </c:pt>
                <c:pt idx="23">
                  <c:v>2573616.7914255834</c:v>
                </c:pt>
                <c:pt idx="24">
                  <c:v>5984558.1895466261</c:v>
                </c:pt>
                <c:pt idx="25">
                  <c:v>7567526.422670492</c:v>
                </c:pt>
                <c:pt idx="26">
                  <c:v>2417234.5527573186</c:v>
                </c:pt>
                <c:pt idx="27">
                  <c:v>742674.41690152872</c:v>
                </c:pt>
                <c:pt idx="28">
                  <c:v>1440205.6231900174</c:v>
                </c:pt>
                <c:pt idx="29">
                  <c:v>1385832.1890043663</c:v>
                </c:pt>
                <c:pt idx="30">
                  <c:v>2257686.8362798593</c:v>
                </c:pt>
                <c:pt idx="31">
                  <c:v>2792878.1587000983</c:v>
                </c:pt>
                <c:pt idx="32">
                  <c:v>826451.71834300028</c:v>
                </c:pt>
                <c:pt idx="33">
                  <c:v>1512885.4581052428</c:v>
                </c:pt>
                <c:pt idx="34">
                  <c:v>2797618.0105547146</c:v>
                </c:pt>
                <c:pt idx="35">
                  <c:v>2907265.6009486686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5E-459A-8545-368A4CFB3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'pfe peak march start'!$I$5</c15:sqref>
                        </c15:formulaRef>
                      </c:ext>
                    </c:extLst>
                    <c:strCache>
                      <c:ptCount val="1"/>
                      <c:pt idx="0">
                        <c:v>forward curve</c:v>
                      </c:pt>
                    </c:strCache>
                  </c:strRef>
                </c:tx>
                <c:spPr>
                  <a:ln w="19050">
                    <a:solidFill>
                      <a:srgbClr val="000080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'pfe peak march start'!$H$6:$H$41</c15:sqref>
                        </c15:formulaRef>
                      </c:ext>
                    </c:extLst>
                    <c:numCache>
                      <c:formatCode>yyyy\-mm\-dd;@</c:formatCode>
                      <c:ptCount val="3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  <c:pt idx="12">
                        <c:v>46388</c:v>
                      </c:pt>
                      <c:pt idx="13">
                        <c:v>46419</c:v>
                      </c:pt>
                      <c:pt idx="14">
                        <c:v>46447</c:v>
                      </c:pt>
                      <c:pt idx="15">
                        <c:v>46478</c:v>
                      </c:pt>
                      <c:pt idx="16">
                        <c:v>46508</c:v>
                      </c:pt>
                      <c:pt idx="17">
                        <c:v>46539</c:v>
                      </c:pt>
                      <c:pt idx="18">
                        <c:v>46569</c:v>
                      </c:pt>
                      <c:pt idx="19">
                        <c:v>46600</c:v>
                      </c:pt>
                      <c:pt idx="20">
                        <c:v>46631</c:v>
                      </c:pt>
                      <c:pt idx="21">
                        <c:v>46661</c:v>
                      </c:pt>
                      <c:pt idx="22">
                        <c:v>46692</c:v>
                      </c:pt>
                      <c:pt idx="23">
                        <c:v>46722</c:v>
                      </c:pt>
                      <c:pt idx="24">
                        <c:v>46753</c:v>
                      </c:pt>
                      <c:pt idx="25">
                        <c:v>46784</c:v>
                      </c:pt>
                      <c:pt idx="26">
                        <c:v>46813</c:v>
                      </c:pt>
                      <c:pt idx="27">
                        <c:v>46844</c:v>
                      </c:pt>
                      <c:pt idx="28">
                        <c:v>46874</c:v>
                      </c:pt>
                      <c:pt idx="29">
                        <c:v>46905</c:v>
                      </c:pt>
                      <c:pt idx="30">
                        <c:v>46935</c:v>
                      </c:pt>
                      <c:pt idx="31">
                        <c:v>46966</c:v>
                      </c:pt>
                      <c:pt idx="32">
                        <c:v>46997</c:v>
                      </c:pt>
                      <c:pt idx="33">
                        <c:v>47027</c:v>
                      </c:pt>
                      <c:pt idx="34">
                        <c:v>47058</c:v>
                      </c:pt>
                      <c:pt idx="35">
                        <c:v>47088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'pfe peak march start'!$I$6:$I$41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6"/>
                      <c:pt idx="3">
                        <c:v>52.75</c:v>
                      </c:pt>
                      <c:pt idx="4">
                        <c:v>48</c:v>
                      </c:pt>
                      <c:pt idx="5">
                        <c:v>63</c:v>
                      </c:pt>
                      <c:pt idx="6">
                        <c:v>94</c:v>
                      </c:pt>
                      <c:pt idx="7">
                        <c:v>75</c:v>
                      </c:pt>
                      <c:pt idx="8">
                        <c:v>52</c:v>
                      </c:pt>
                      <c:pt idx="9">
                        <c:v>50</c:v>
                      </c:pt>
                      <c:pt idx="10">
                        <c:v>71.650000000000006</c:v>
                      </c:pt>
                      <c:pt idx="11">
                        <c:v>116.5</c:v>
                      </c:pt>
                      <c:pt idx="12">
                        <c:v>153</c:v>
                      </c:pt>
                      <c:pt idx="13">
                        <c:v>134</c:v>
                      </c:pt>
                      <c:pt idx="14">
                        <c:v>74</c:v>
                      </c:pt>
                      <c:pt idx="15">
                        <c:v>51.75</c:v>
                      </c:pt>
                      <c:pt idx="16">
                        <c:v>45.25</c:v>
                      </c:pt>
                      <c:pt idx="17">
                        <c:v>57</c:v>
                      </c:pt>
                      <c:pt idx="18">
                        <c:v>91.25</c:v>
                      </c:pt>
                      <c:pt idx="19">
                        <c:v>72.849999999999994</c:v>
                      </c:pt>
                      <c:pt idx="20">
                        <c:v>47.75</c:v>
                      </c:pt>
                      <c:pt idx="21">
                        <c:v>47.75</c:v>
                      </c:pt>
                      <c:pt idx="22">
                        <c:v>63</c:v>
                      </c:pt>
                      <c:pt idx="23">
                        <c:v>98.5</c:v>
                      </c:pt>
                      <c:pt idx="24">
                        <c:v>147</c:v>
                      </c:pt>
                      <c:pt idx="25">
                        <c:v>128</c:v>
                      </c:pt>
                      <c:pt idx="26">
                        <c:v>68</c:v>
                      </c:pt>
                      <c:pt idx="27">
                        <c:v>45.75</c:v>
                      </c:pt>
                      <c:pt idx="28">
                        <c:v>39.25</c:v>
                      </c:pt>
                      <c:pt idx="29">
                        <c:v>51</c:v>
                      </c:pt>
                      <c:pt idx="30">
                        <c:v>85.25</c:v>
                      </c:pt>
                      <c:pt idx="31">
                        <c:v>66.849999999999994</c:v>
                      </c:pt>
                      <c:pt idx="32">
                        <c:v>41.75</c:v>
                      </c:pt>
                      <c:pt idx="33">
                        <c:v>41.75</c:v>
                      </c:pt>
                      <c:pt idx="34">
                        <c:v>57</c:v>
                      </c:pt>
                      <c:pt idx="35">
                        <c:v>92.5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B5E-459A-8545-368A4CFB351E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'pfe peak march start'!$L$5</c15:sqref>
                        </c15:formulaRef>
                      </c:ext>
                    </c:extLst>
                    <c:strCache>
                      <c:ptCount val="1"/>
                      <c:pt idx="0">
                        <c:v>95% upper</c:v>
                      </c:pt>
                    </c:strCache>
                  </c:strRef>
                </c:tx>
                <c:spPr>
                  <a:ln>
                    <a:prstDash val="dash"/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'pfe peak march start'!$H$6:$H$41</c15:sqref>
                        </c15:formulaRef>
                      </c:ext>
                    </c:extLst>
                    <c:numCache>
                      <c:formatCode>yyyy\-mm\-dd;@</c:formatCode>
                      <c:ptCount val="3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  <c:pt idx="12">
                        <c:v>46388</c:v>
                      </c:pt>
                      <c:pt idx="13">
                        <c:v>46419</c:v>
                      </c:pt>
                      <c:pt idx="14">
                        <c:v>46447</c:v>
                      </c:pt>
                      <c:pt idx="15">
                        <c:v>46478</c:v>
                      </c:pt>
                      <c:pt idx="16">
                        <c:v>46508</c:v>
                      </c:pt>
                      <c:pt idx="17">
                        <c:v>46539</c:v>
                      </c:pt>
                      <c:pt idx="18">
                        <c:v>46569</c:v>
                      </c:pt>
                      <c:pt idx="19">
                        <c:v>46600</c:v>
                      </c:pt>
                      <c:pt idx="20">
                        <c:v>46631</c:v>
                      </c:pt>
                      <c:pt idx="21">
                        <c:v>46661</c:v>
                      </c:pt>
                      <c:pt idx="22">
                        <c:v>46692</c:v>
                      </c:pt>
                      <c:pt idx="23">
                        <c:v>46722</c:v>
                      </c:pt>
                      <c:pt idx="24">
                        <c:v>46753</c:v>
                      </c:pt>
                      <c:pt idx="25">
                        <c:v>46784</c:v>
                      </c:pt>
                      <c:pt idx="26">
                        <c:v>46813</c:v>
                      </c:pt>
                      <c:pt idx="27">
                        <c:v>46844</c:v>
                      </c:pt>
                      <c:pt idx="28">
                        <c:v>46874</c:v>
                      </c:pt>
                      <c:pt idx="29">
                        <c:v>46905</c:v>
                      </c:pt>
                      <c:pt idx="30">
                        <c:v>46935</c:v>
                      </c:pt>
                      <c:pt idx="31">
                        <c:v>46966</c:v>
                      </c:pt>
                      <c:pt idx="32">
                        <c:v>46997</c:v>
                      </c:pt>
                      <c:pt idx="33">
                        <c:v>47027</c:v>
                      </c:pt>
                      <c:pt idx="34">
                        <c:v>47058</c:v>
                      </c:pt>
                      <c:pt idx="35">
                        <c:v>47088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'pfe peak march start'!$L$6:$L$41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65.303979178134526</c:v>
                      </c:pt>
                      <c:pt idx="4">
                        <c:v>62.454807635041867</c:v>
                      </c:pt>
                      <c:pt idx="5">
                        <c:v>81.809825313456528</c:v>
                      </c:pt>
                      <c:pt idx="6">
                        <c:v>117.77785249791665</c:v>
                      </c:pt>
                      <c:pt idx="7">
                        <c:v>102.17864794765636</c:v>
                      </c:pt>
                      <c:pt idx="8">
                        <c:v>73.868128207091331</c:v>
                      </c:pt>
                      <c:pt idx="9">
                        <c:v>72.472676941378438</c:v>
                      </c:pt>
                      <c:pt idx="10">
                        <c:v>104.07623815075269</c:v>
                      </c:pt>
                      <c:pt idx="11">
                        <c:v>174.7669082872969</c:v>
                      </c:pt>
                      <c:pt idx="12">
                        <c:v>233.7200212179381</c:v>
                      </c:pt>
                      <c:pt idx="13">
                        <c:v>238.14833035462195</c:v>
                      </c:pt>
                      <c:pt idx="14">
                        <c:v>105.3356840944147</c:v>
                      </c:pt>
                      <c:pt idx="15">
                        <c:v>66.977445780210587</c:v>
                      </c:pt>
                      <c:pt idx="16">
                        <c:v>72.233403450560047</c:v>
                      </c:pt>
                      <c:pt idx="17">
                        <c:v>76.991260655475102</c:v>
                      </c:pt>
                      <c:pt idx="18">
                        <c:v>127.74651538777057</c:v>
                      </c:pt>
                      <c:pt idx="19">
                        <c:v>112.43109201362164</c:v>
                      </c:pt>
                      <c:pt idx="20">
                        <c:v>65.982603821404652</c:v>
                      </c:pt>
                      <c:pt idx="21">
                        <c:v>78.263033326656753</c:v>
                      </c:pt>
                      <c:pt idx="22">
                        <c:v>107.85920019397356</c:v>
                      </c:pt>
                      <c:pt idx="23">
                        <c:v>148.31161653329173</c:v>
                      </c:pt>
                      <c:pt idx="24">
                        <c:v>273.86136832888087</c:v>
                      </c:pt>
                      <c:pt idx="25">
                        <c:v>288.41731510303327</c:v>
                      </c:pt>
                      <c:pt idx="26">
                        <c:v>114.78488305412195</c:v>
                      </c:pt>
                      <c:pt idx="27">
                        <c:v>67.790432600354009</c:v>
                      </c:pt>
                      <c:pt idx="28">
                        <c:v>78.105167085469631</c:v>
                      </c:pt>
                      <c:pt idx="29">
                        <c:v>79.041362760858064</c:v>
                      </c:pt>
                      <c:pt idx="30">
                        <c:v>135.50122053685584</c:v>
                      </c:pt>
                      <c:pt idx="31">
                        <c:v>120.90535755317897</c:v>
                      </c:pt>
                      <c:pt idx="32">
                        <c:v>66.27670104294279</c:v>
                      </c:pt>
                      <c:pt idx="33">
                        <c:v>82.565989265236141</c:v>
                      </c:pt>
                      <c:pt idx="34">
                        <c:v>116.30423560763799</c:v>
                      </c:pt>
                      <c:pt idx="35">
                        <c:v>157.20943734305263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5E-459A-8545-368A4CFB351E}"/>
                  </c:ext>
                </c:extLst>
              </c15:ser>
            </c15:filteredLineSeries>
          </c:ext>
        </c:extLst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8626103555237414"/>
          <c:y val="0.1463238432775521"/>
          <c:w val="0.1576259630061809"/>
          <c:h val="8.36709064648958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317560829371853"/>
          <c:w val="0.90080050393700783"/>
          <c:h val="0.75407839754296446"/>
        </c:manualLayout>
      </c:layout>
      <c:lineChart>
        <c:grouping val="standard"/>
        <c:varyColors val="0"/>
        <c:ser>
          <c:idx val="0"/>
          <c:order val="0"/>
          <c:tx>
            <c:strRef>
              <c:f>'pfe peak march start 2027-12'!$I$5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2027-12'!$I$6:$I$41</c:f>
              <c:numCache>
                <c:formatCode>_("$"* #,##0.00_);_("$"* \(#,##0.00\);_("$"* "-"??_);_(@_)</c:formatCode>
                <c:ptCount val="36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98.5</c:v>
                </c:pt>
                <c:pt idx="24">
                  <c:v>147</c:v>
                </c:pt>
                <c:pt idx="25">
                  <c:v>128</c:v>
                </c:pt>
                <c:pt idx="26">
                  <c:v>68</c:v>
                </c:pt>
                <c:pt idx="27">
                  <c:v>45.75</c:v>
                </c:pt>
                <c:pt idx="28">
                  <c:v>39.25</c:v>
                </c:pt>
                <c:pt idx="29">
                  <c:v>51</c:v>
                </c:pt>
                <c:pt idx="30">
                  <c:v>85.25</c:v>
                </c:pt>
                <c:pt idx="31">
                  <c:v>66.849999999999994</c:v>
                </c:pt>
                <c:pt idx="32">
                  <c:v>41.75</c:v>
                </c:pt>
                <c:pt idx="33">
                  <c:v>41.75</c:v>
                </c:pt>
                <c:pt idx="34">
                  <c:v>57</c:v>
                </c:pt>
                <c:pt idx="35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A-446D-A52A-286FAEA08DEB}"/>
            </c:ext>
          </c:extLst>
        </c:ser>
        <c:ser>
          <c:idx val="1"/>
          <c:order val="1"/>
          <c:tx>
            <c:strRef>
              <c:f>'pfe peak march start 2027-12'!$M$5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2027-12'!$M$6:$M$41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178.58105323157596</c:v>
                </c:pt>
                <c:pt idx="24">
                  <c:v>362.22120697097466</c:v>
                </c:pt>
                <c:pt idx="25">
                  <c:v>416.61635903672129</c:v>
                </c:pt>
                <c:pt idx="26">
                  <c:v>140.02942453970942</c:v>
                </c:pt>
                <c:pt idx="27">
                  <c:v>77.408480014310655</c:v>
                </c:pt>
                <c:pt idx="28">
                  <c:v>99.698342147240766</c:v>
                </c:pt>
                <c:pt idx="29">
                  <c:v>89.95232383921585</c:v>
                </c:pt>
                <c:pt idx="30">
                  <c:v>154.01918063957478</c:v>
                </c:pt>
                <c:pt idx="31">
                  <c:v>142.23171193514113</c:v>
                </c:pt>
                <c:pt idx="32">
                  <c:v>73.898616269152882</c:v>
                </c:pt>
                <c:pt idx="33">
                  <c:v>97.947342045476276</c:v>
                </c:pt>
                <c:pt idx="34">
                  <c:v>137.85050375349388</c:v>
                </c:pt>
                <c:pt idx="35">
                  <c:v>173.96805920225097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A-446D-A52A-286FAEA08DEB}"/>
            </c:ext>
          </c:extLst>
        </c:ser>
        <c:ser>
          <c:idx val="2"/>
          <c:order val="2"/>
          <c:tx>
            <c:strRef>
              <c:f>'pfe peak march start 2027-12'!$J$5</c:f>
              <c:strCache>
                <c:ptCount val="1"/>
                <c:pt idx="0">
                  <c:v>99% lower</c:v>
                </c:pt>
              </c:strCache>
            </c:strRef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2027-12'!$J$6:$J$41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50.478964546876412</c:v>
                </c:pt>
                <c:pt idx="24">
                  <c:v>49.756584259792248</c:v>
                </c:pt>
                <c:pt idx="25">
                  <c:v>28.149285083436112</c:v>
                </c:pt>
                <c:pt idx="26">
                  <c:v>29.536870724644245</c:v>
                </c:pt>
                <c:pt idx="27">
                  <c:v>25.55197325327569</c:v>
                </c:pt>
                <c:pt idx="28">
                  <c:v>12.709892926657679</c:v>
                </c:pt>
                <c:pt idx="29">
                  <c:v>27.055978501083693</c:v>
                </c:pt>
                <c:pt idx="30">
                  <c:v>43.881949453612357</c:v>
                </c:pt>
                <c:pt idx="31">
                  <c:v>27.790037430864913</c:v>
                </c:pt>
                <c:pt idx="32">
                  <c:v>22.050980872074845</c:v>
                </c:pt>
                <c:pt idx="33">
                  <c:v>15.160083678326169</c:v>
                </c:pt>
                <c:pt idx="34">
                  <c:v>19.820512261391357</c:v>
                </c:pt>
                <c:pt idx="35">
                  <c:v>45.24125550431129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3A-446D-A52A-286FAEA08DEB}"/>
            </c:ext>
          </c:extLst>
        </c:ser>
        <c:ser>
          <c:idx val="3"/>
          <c:order val="3"/>
          <c:tx>
            <c:strRef>
              <c:f>'pfe peak march start 2027-12'!$K$5</c:f>
              <c:strCache>
                <c:ptCount val="1"/>
                <c:pt idx="0">
                  <c:v>95% lower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2027-12'!$K$6:$K$41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60.78139302592696</c:v>
                </c:pt>
                <c:pt idx="24">
                  <c:v>66.616066618185371</c:v>
                </c:pt>
                <c:pt idx="25">
                  <c:v>41.830386987209536</c:v>
                </c:pt>
                <c:pt idx="26">
                  <c:v>37.128913471129565</c:v>
                </c:pt>
                <c:pt idx="27">
                  <c:v>30.073425587806742</c:v>
                </c:pt>
                <c:pt idx="28">
                  <c:v>17.204272834788281</c:v>
                </c:pt>
                <c:pt idx="29">
                  <c:v>32.281828786352598</c:v>
                </c:pt>
                <c:pt idx="30">
                  <c:v>52.776555253239003</c:v>
                </c:pt>
                <c:pt idx="31">
                  <c:v>35.328472668065352</c:v>
                </c:pt>
                <c:pt idx="32">
                  <c:v>26.340941408853375</c:v>
                </c:pt>
                <c:pt idx="33">
                  <c:v>19.943937575522984</c:v>
                </c:pt>
                <c:pt idx="34">
                  <c:v>26.358967925181517</c:v>
                </c:pt>
                <c:pt idx="35">
                  <c:v>55.146450468872629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3A-446D-A52A-286FAEA08DEB}"/>
            </c:ext>
          </c:extLst>
        </c:ser>
        <c:ser>
          <c:idx val="4"/>
          <c:order val="4"/>
          <c:tx>
            <c:strRef>
              <c:f>'pfe peak march start 2027-12'!$L$5</c:f>
              <c:strCache>
                <c:ptCount val="1"/>
                <c:pt idx="0">
                  <c:v>95% upper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2027-12'!$L$6:$L$41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148.31161653329173</c:v>
                </c:pt>
                <c:pt idx="24">
                  <c:v>270.54869673759634</c:v>
                </c:pt>
                <c:pt idx="25">
                  <c:v>280.35725953321315</c:v>
                </c:pt>
                <c:pt idx="26">
                  <c:v>111.39650002125137</c:v>
                </c:pt>
                <c:pt idx="27">
                  <c:v>65.770339502139947</c:v>
                </c:pt>
                <c:pt idx="28">
                  <c:v>73.653520019424093</c:v>
                </c:pt>
                <c:pt idx="29">
                  <c:v>75.390652618330861</c:v>
                </c:pt>
                <c:pt idx="30">
                  <c:v>128.06182342296427</c:v>
                </c:pt>
                <c:pt idx="31">
                  <c:v>111.88212509697551</c:v>
                </c:pt>
                <c:pt idx="32">
                  <c:v>61.863277721584787</c:v>
                </c:pt>
                <c:pt idx="33">
                  <c:v>74.453196408990337</c:v>
                </c:pt>
                <c:pt idx="34">
                  <c:v>103.65609183335599</c:v>
                </c:pt>
                <c:pt idx="35">
                  <c:v>142.72058036447342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3A-446D-A52A-286FAEA08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10952040085901"/>
          <c:y val="0.16186382296618518"/>
          <c:w val="0.16586247985970079"/>
          <c:h val="0.24643700787401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1"/>
          <c:w val="0.90080050393700783"/>
          <c:h val="0.77583438320209974"/>
        </c:manualLayout>
      </c:layout>
      <c:lineChart>
        <c:grouping val="standard"/>
        <c:varyColors val="0"/>
        <c:ser>
          <c:idx val="0"/>
          <c:order val="0"/>
          <c:tx>
            <c:strRef>
              <c:f>'pfe peak march start 2027-12'!$I$5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march start 2027-12'!$H$6:$H$22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march start 2027-12'!$I$6:$I$23</c:f>
              <c:numCache>
                <c:formatCode>_("$"* #,##0.00_);_("$"* \(#,##0.00\);_("$"* "-"??_);_(@_)</c:formatCode>
                <c:ptCount val="18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7-455D-82D6-7B4E0A0C79B3}"/>
            </c:ext>
          </c:extLst>
        </c:ser>
        <c:ser>
          <c:idx val="1"/>
          <c:order val="1"/>
          <c:tx>
            <c:strRef>
              <c:f>'pfe peak march start 2027-12'!$M$5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march start 2027-12'!$H$6:$H$22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march start 2027-12'!$M$6:$M$33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178.58105323157596</c:v>
                </c:pt>
                <c:pt idx="24">
                  <c:v>362.22120697097466</c:v>
                </c:pt>
                <c:pt idx="25">
                  <c:v>416.61635903672129</c:v>
                </c:pt>
                <c:pt idx="26">
                  <c:v>140.02942453970942</c:v>
                </c:pt>
                <c:pt idx="27">
                  <c:v>77.408480014310655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7-455D-82D6-7B4E0A0C79B3}"/>
            </c:ext>
          </c:extLst>
        </c:ser>
        <c:ser>
          <c:idx val="2"/>
          <c:order val="2"/>
          <c:tx>
            <c:strRef>
              <c:f>'pfe peak march start 2027-12'!$J$5</c:f>
              <c:strCache>
                <c:ptCount val="1"/>
                <c:pt idx="0">
                  <c:v>99% lower</c:v>
                </c:pt>
              </c:strCache>
            </c:strRef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'pfe peak march start 2027-12'!$H$6:$H$22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peak march start 2027-12'!$J$6:$J$33</c:f>
              <c:numCache>
                <c:formatCode>_("$"* #,##0.00_);_("$"* \(#,##0.00\);_("$"*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50.478964546876412</c:v>
                </c:pt>
                <c:pt idx="24">
                  <c:v>49.756584259792248</c:v>
                </c:pt>
                <c:pt idx="25">
                  <c:v>28.149285083436112</c:v>
                </c:pt>
                <c:pt idx="26">
                  <c:v>29.536870724644245</c:v>
                </c:pt>
                <c:pt idx="27">
                  <c:v>25.55197325327569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77-455D-82D6-7B4E0A0C79B3}"/>
            </c:ext>
          </c:extLst>
        </c:ser>
        <c:ser>
          <c:idx val="3"/>
          <c:order val="3"/>
          <c:tx>
            <c:strRef>
              <c:f>pfe!#REF!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pfe!#REF!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77-455D-82D6-7B4E0A0C79B3}"/>
            </c:ext>
          </c:extLst>
        </c:ser>
        <c:ser>
          <c:idx val="4"/>
          <c:order val="4"/>
          <c:tx>
            <c:strRef>
              <c:f>pfe!#REF!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pfe!#REF!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77-455D-82D6-7B4E0A0C7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solidFill>
          <a:schemeClr val="bg2">
            <a:lumMod val="90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573400524934379"/>
          <c:y val="1.5000524934383202E-2"/>
          <c:w val="0.23700383605895417"/>
          <c:h val="0.24643700787401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0150737527235847"/>
          <c:w val="0.90080050393700783"/>
          <c:h val="0.78432686360064874"/>
        </c:manualLayout>
      </c:layout>
      <c:lineChart>
        <c:grouping val="standard"/>
        <c:varyColors val="0"/>
        <c:ser>
          <c:idx val="0"/>
          <c:order val="0"/>
          <c:tx>
            <c:strRef>
              <c:f>'pfe peak march start 2027-12'!$I$5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2027-12'!$I$6:$I$41</c:f>
              <c:numCache>
                <c:formatCode>_("$"* #,##0.00_);_("$"* \(#,##0.00\);_("$"* "-"??_);_(@_)</c:formatCode>
                <c:ptCount val="36"/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98.5</c:v>
                </c:pt>
                <c:pt idx="24">
                  <c:v>147</c:v>
                </c:pt>
                <c:pt idx="25">
                  <c:v>128</c:v>
                </c:pt>
                <c:pt idx="26">
                  <c:v>68</c:v>
                </c:pt>
                <c:pt idx="27">
                  <c:v>45.75</c:v>
                </c:pt>
                <c:pt idx="28">
                  <c:v>39.25</c:v>
                </c:pt>
                <c:pt idx="29">
                  <c:v>51</c:v>
                </c:pt>
                <c:pt idx="30">
                  <c:v>85.25</c:v>
                </c:pt>
                <c:pt idx="31">
                  <c:v>66.849999999999994</c:v>
                </c:pt>
                <c:pt idx="32">
                  <c:v>41.75</c:v>
                </c:pt>
                <c:pt idx="33">
                  <c:v>41.75</c:v>
                </c:pt>
                <c:pt idx="34">
                  <c:v>57</c:v>
                </c:pt>
                <c:pt idx="35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B-459A-924D-38EDCF1638BF}"/>
            </c:ext>
          </c:extLst>
        </c:ser>
        <c:ser>
          <c:idx val="1"/>
          <c:order val="1"/>
          <c:tx>
            <c:strRef>
              <c:f>'pfe peak march start 2027-12'!$M$5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2027-12'!$M$6:$M$41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178.58105323157596</c:v>
                </c:pt>
                <c:pt idx="24">
                  <c:v>362.22120697097466</c:v>
                </c:pt>
                <c:pt idx="25">
                  <c:v>416.61635903672129</c:v>
                </c:pt>
                <c:pt idx="26">
                  <c:v>140.02942453970942</c:v>
                </c:pt>
                <c:pt idx="27">
                  <c:v>77.408480014310655</c:v>
                </c:pt>
                <c:pt idx="28">
                  <c:v>99.698342147240766</c:v>
                </c:pt>
                <c:pt idx="29">
                  <c:v>89.95232383921585</c:v>
                </c:pt>
                <c:pt idx="30">
                  <c:v>154.01918063957478</c:v>
                </c:pt>
                <c:pt idx="31">
                  <c:v>142.23171193514113</c:v>
                </c:pt>
                <c:pt idx="32">
                  <c:v>73.898616269152882</c:v>
                </c:pt>
                <c:pt idx="33">
                  <c:v>97.947342045476276</c:v>
                </c:pt>
                <c:pt idx="34">
                  <c:v>137.85050375349388</c:v>
                </c:pt>
                <c:pt idx="35">
                  <c:v>173.96805920225097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B-459A-924D-38EDCF1638BF}"/>
            </c:ext>
          </c:extLst>
        </c:ser>
        <c:ser>
          <c:idx val="4"/>
          <c:order val="2"/>
          <c:tx>
            <c:strRef>
              <c:f>'pfe peak march start 2027-12'!$L$5</c:f>
              <c:strCache>
                <c:ptCount val="1"/>
                <c:pt idx="0">
                  <c:v>95% upper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2027-12'!$L$6:$L$41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52.75</c:v>
                </c:pt>
                <c:pt idx="4">
                  <c:v>48</c:v>
                </c:pt>
                <c:pt idx="5">
                  <c:v>63</c:v>
                </c:pt>
                <c:pt idx="6">
                  <c:v>94</c:v>
                </c:pt>
                <c:pt idx="7">
                  <c:v>75</c:v>
                </c:pt>
                <c:pt idx="8">
                  <c:v>52</c:v>
                </c:pt>
                <c:pt idx="9">
                  <c:v>50</c:v>
                </c:pt>
                <c:pt idx="10">
                  <c:v>71.650000000000006</c:v>
                </c:pt>
                <c:pt idx="11">
                  <c:v>116.5</c:v>
                </c:pt>
                <c:pt idx="12">
                  <c:v>153</c:v>
                </c:pt>
                <c:pt idx="13">
                  <c:v>134</c:v>
                </c:pt>
                <c:pt idx="14">
                  <c:v>74</c:v>
                </c:pt>
                <c:pt idx="15">
                  <c:v>51.75</c:v>
                </c:pt>
                <c:pt idx="16">
                  <c:v>45.25</c:v>
                </c:pt>
                <c:pt idx="17">
                  <c:v>57</c:v>
                </c:pt>
                <c:pt idx="18">
                  <c:v>91.25</c:v>
                </c:pt>
                <c:pt idx="19">
                  <c:v>72.849999999999994</c:v>
                </c:pt>
                <c:pt idx="20">
                  <c:v>47.75</c:v>
                </c:pt>
                <c:pt idx="21">
                  <c:v>47.75</c:v>
                </c:pt>
                <c:pt idx="22">
                  <c:v>63</c:v>
                </c:pt>
                <c:pt idx="23">
                  <c:v>148.31161653329173</c:v>
                </c:pt>
                <c:pt idx="24">
                  <c:v>270.54869673759634</c:v>
                </c:pt>
                <c:pt idx="25">
                  <c:v>280.35725953321315</c:v>
                </c:pt>
                <c:pt idx="26">
                  <c:v>111.39650002125137</c:v>
                </c:pt>
                <c:pt idx="27">
                  <c:v>65.770339502139947</c:v>
                </c:pt>
                <c:pt idx="28">
                  <c:v>73.653520019424093</c:v>
                </c:pt>
                <c:pt idx="29">
                  <c:v>75.390652618330861</c:v>
                </c:pt>
                <c:pt idx="30">
                  <c:v>128.06182342296427</c:v>
                </c:pt>
                <c:pt idx="31">
                  <c:v>111.88212509697551</c:v>
                </c:pt>
                <c:pt idx="32">
                  <c:v>61.863277721584787</c:v>
                </c:pt>
                <c:pt idx="33">
                  <c:v>74.453196408990337</c:v>
                </c:pt>
                <c:pt idx="34">
                  <c:v>103.65609183335599</c:v>
                </c:pt>
                <c:pt idx="35">
                  <c:v>142.72058036447342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B-459A-924D-38EDCF163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956116008537531"/>
          <c:y val="0.12368911235587839"/>
          <c:w val="0.16586247985970079"/>
          <c:h val="0.164342132392686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0150737527235847"/>
          <c:w val="0.90080050393700783"/>
          <c:h val="0.78432686360064874"/>
        </c:manualLayout>
      </c:layout>
      <c:lineChart>
        <c:grouping val="standard"/>
        <c:varyColors val="0"/>
        <c:ser>
          <c:idx val="1"/>
          <c:order val="1"/>
          <c:tx>
            <c:strRef>
              <c:f>'pfe peak march start 2027-12'!$P$5</c:f>
              <c:strCache>
                <c:ptCount val="1"/>
                <c:pt idx="0">
                  <c:v>99% upside risk P/L</c:v>
                </c:pt>
              </c:strCache>
            </c:strRef>
          </c:tx>
          <c:marker>
            <c:symbol val="none"/>
          </c:marker>
          <c:cat>
            <c:numRef>
              <c:f>'pfe peak march start 2027-12'!$H$6:$H$41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peak march start 2027-12'!$P$6:$P$41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4137547.7773158355</c:v>
                </c:pt>
                <c:pt idx="24">
                  <c:v>10152845.217648759</c:v>
                </c:pt>
                <c:pt idx="25">
                  <c:v>13615188.121198291</c:v>
                </c:pt>
                <c:pt idx="26">
                  <c:v>3721544.2776931669</c:v>
                </c:pt>
                <c:pt idx="27">
                  <c:v>1066764.1425622117</c:v>
                </c:pt>
                <c:pt idx="28">
                  <c:v>2240578.2500296263</c:v>
                </c:pt>
                <c:pt idx="29">
                  <c:v>1925062.7964578865</c:v>
                </c:pt>
                <c:pt idx="30">
                  <c:v>3089661.7477748161</c:v>
                </c:pt>
                <c:pt idx="31">
                  <c:v>3894746.9105529375</c:v>
                </c:pt>
                <c:pt idx="32">
                  <c:v>1083279.7738053754</c:v>
                </c:pt>
                <c:pt idx="33">
                  <c:v>2083010.6802576235</c:v>
                </c:pt>
                <c:pt idx="34">
                  <c:v>3814041.6640673205</c:v>
                </c:pt>
                <c:pt idx="35">
                  <c:v>3660196.9638387314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4-45AB-9A28-0EBEF928A440}"/>
            </c:ext>
          </c:extLst>
        </c:ser>
        <c:ser>
          <c:idx val="2"/>
          <c:order val="3"/>
          <c:tx>
            <c:strRef>
              <c:f>'pfe peak march start 2027-12'!$U$5</c:f>
              <c:strCache>
                <c:ptCount val="1"/>
                <c:pt idx="0">
                  <c:v>95% upside risk P/L</c:v>
                </c:pt>
              </c:strCache>
            </c:strRef>
          </c:tx>
          <c:marker>
            <c:symbol val="none"/>
          </c:marker>
          <c:val>
            <c:numRef>
              <c:f>'pfe peak march start 2027-12'!$U$6:$U$41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2573616.7914255834</c:v>
                </c:pt>
                <c:pt idx="24">
                  <c:v>5828286.2198993703</c:v>
                </c:pt>
                <c:pt idx="25">
                  <c:v>7187301.3612197973</c:v>
                </c:pt>
                <c:pt idx="26">
                  <c:v>2242166.9665979943</c:v>
                </c:pt>
                <c:pt idx="27">
                  <c:v>674605.35986410768</c:v>
                </c:pt>
                <c:pt idx="28">
                  <c:v>1275200.8730399734</c:v>
                </c:pt>
                <c:pt idx="29">
                  <c:v>1205410.4430505296</c:v>
                </c:pt>
                <c:pt idx="30">
                  <c:v>1923449.6027469386</c:v>
                </c:pt>
                <c:pt idx="31">
                  <c:v>2326674.8073854344</c:v>
                </c:pt>
                <c:pt idx="32">
                  <c:v>677737.006106521</c:v>
                </c:pt>
                <c:pt idx="33">
                  <c:v>1212176.6780956357</c:v>
                </c:pt>
                <c:pt idx="34">
                  <c:v>2200954.4761467353</c:v>
                </c:pt>
                <c:pt idx="35">
                  <c:v>2256310.2346150619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4-45AB-9A28-0EBEF928A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'pfe peak march start 2027-12'!$I$5</c15:sqref>
                        </c15:formulaRef>
                      </c:ext>
                    </c:extLst>
                    <c:strCache>
                      <c:ptCount val="1"/>
                      <c:pt idx="0">
                        <c:v>forward curve</c:v>
                      </c:pt>
                    </c:strCache>
                  </c:strRef>
                </c:tx>
                <c:spPr>
                  <a:ln w="19050">
                    <a:solidFill>
                      <a:srgbClr val="000080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'pfe peak march start 2027-12'!$H$6:$H$41</c15:sqref>
                        </c15:formulaRef>
                      </c:ext>
                    </c:extLst>
                    <c:numCache>
                      <c:formatCode>yyyy\-mm\-dd;@</c:formatCode>
                      <c:ptCount val="3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  <c:pt idx="12">
                        <c:v>46388</c:v>
                      </c:pt>
                      <c:pt idx="13">
                        <c:v>46419</c:v>
                      </c:pt>
                      <c:pt idx="14">
                        <c:v>46447</c:v>
                      </c:pt>
                      <c:pt idx="15">
                        <c:v>46478</c:v>
                      </c:pt>
                      <c:pt idx="16">
                        <c:v>46508</c:v>
                      </c:pt>
                      <c:pt idx="17">
                        <c:v>46539</c:v>
                      </c:pt>
                      <c:pt idx="18">
                        <c:v>46569</c:v>
                      </c:pt>
                      <c:pt idx="19">
                        <c:v>46600</c:v>
                      </c:pt>
                      <c:pt idx="20">
                        <c:v>46631</c:v>
                      </c:pt>
                      <c:pt idx="21">
                        <c:v>46661</c:v>
                      </c:pt>
                      <c:pt idx="22">
                        <c:v>46692</c:v>
                      </c:pt>
                      <c:pt idx="23">
                        <c:v>46722</c:v>
                      </c:pt>
                      <c:pt idx="24">
                        <c:v>46753</c:v>
                      </c:pt>
                      <c:pt idx="25">
                        <c:v>46784</c:v>
                      </c:pt>
                      <c:pt idx="26">
                        <c:v>46813</c:v>
                      </c:pt>
                      <c:pt idx="27">
                        <c:v>46844</c:v>
                      </c:pt>
                      <c:pt idx="28">
                        <c:v>46874</c:v>
                      </c:pt>
                      <c:pt idx="29">
                        <c:v>46905</c:v>
                      </c:pt>
                      <c:pt idx="30">
                        <c:v>46935</c:v>
                      </c:pt>
                      <c:pt idx="31">
                        <c:v>46966</c:v>
                      </c:pt>
                      <c:pt idx="32">
                        <c:v>46997</c:v>
                      </c:pt>
                      <c:pt idx="33">
                        <c:v>47027</c:v>
                      </c:pt>
                      <c:pt idx="34">
                        <c:v>47058</c:v>
                      </c:pt>
                      <c:pt idx="35">
                        <c:v>47088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'pfe peak march start 2027-12'!$I$6:$I$41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6"/>
                      <c:pt idx="3">
                        <c:v>52.75</c:v>
                      </c:pt>
                      <c:pt idx="4">
                        <c:v>48</c:v>
                      </c:pt>
                      <c:pt idx="5">
                        <c:v>63</c:v>
                      </c:pt>
                      <c:pt idx="6">
                        <c:v>94</c:v>
                      </c:pt>
                      <c:pt idx="7">
                        <c:v>75</c:v>
                      </c:pt>
                      <c:pt idx="8">
                        <c:v>52</c:v>
                      </c:pt>
                      <c:pt idx="9">
                        <c:v>50</c:v>
                      </c:pt>
                      <c:pt idx="10">
                        <c:v>71.650000000000006</c:v>
                      </c:pt>
                      <c:pt idx="11">
                        <c:v>116.5</c:v>
                      </c:pt>
                      <c:pt idx="12">
                        <c:v>153</c:v>
                      </c:pt>
                      <c:pt idx="13">
                        <c:v>134</c:v>
                      </c:pt>
                      <c:pt idx="14">
                        <c:v>74</c:v>
                      </c:pt>
                      <c:pt idx="15">
                        <c:v>51.75</c:v>
                      </c:pt>
                      <c:pt idx="16">
                        <c:v>45.25</c:v>
                      </c:pt>
                      <c:pt idx="17">
                        <c:v>57</c:v>
                      </c:pt>
                      <c:pt idx="18">
                        <c:v>91.25</c:v>
                      </c:pt>
                      <c:pt idx="19">
                        <c:v>72.849999999999994</c:v>
                      </c:pt>
                      <c:pt idx="20">
                        <c:v>47.75</c:v>
                      </c:pt>
                      <c:pt idx="21">
                        <c:v>47.75</c:v>
                      </c:pt>
                      <c:pt idx="22">
                        <c:v>63</c:v>
                      </c:pt>
                      <c:pt idx="23">
                        <c:v>98.5</c:v>
                      </c:pt>
                      <c:pt idx="24">
                        <c:v>147</c:v>
                      </c:pt>
                      <c:pt idx="25">
                        <c:v>128</c:v>
                      </c:pt>
                      <c:pt idx="26">
                        <c:v>68</c:v>
                      </c:pt>
                      <c:pt idx="27">
                        <c:v>45.75</c:v>
                      </c:pt>
                      <c:pt idx="28">
                        <c:v>39.25</c:v>
                      </c:pt>
                      <c:pt idx="29">
                        <c:v>51</c:v>
                      </c:pt>
                      <c:pt idx="30">
                        <c:v>85.25</c:v>
                      </c:pt>
                      <c:pt idx="31">
                        <c:v>66.849999999999994</c:v>
                      </c:pt>
                      <c:pt idx="32">
                        <c:v>41.75</c:v>
                      </c:pt>
                      <c:pt idx="33">
                        <c:v>41.75</c:v>
                      </c:pt>
                      <c:pt idx="34">
                        <c:v>57</c:v>
                      </c:pt>
                      <c:pt idx="35">
                        <c:v>92.5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F54-45AB-9A28-0EBEF928A440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'pfe peak march start 2027-12'!$L$5</c15:sqref>
                        </c15:formulaRef>
                      </c:ext>
                    </c:extLst>
                    <c:strCache>
                      <c:ptCount val="1"/>
                      <c:pt idx="0">
                        <c:v>95% upper</c:v>
                      </c:pt>
                    </c:strCache>
                  </c:strRef>
                </c:tx>
                <c:spPr>
                  <a:ln>
                    <a:prstDash val="dash"/>
                  </a:ln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'pfe peak march start 2027-12'!$H$6:$H$41</c15:sqref>
                        </c15:formulaRef>
                      </c:ext>
                    </c:extLst>
                    <c:numCache>
                      <c:formatCode>yyyy\-mm\-dd;@</c:formatCode>
                      <c:ptCount val="3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  <c:pt idx="12">
                        <c:v>46388</c:v>
                      </c:pt>
                      <c:pt idx="13">
                        <c:v>46419</c:v>
                      </c:pt>
                      <c:pt idx="14">
                        <c:v>46447</c:v>
                      </c:pt>
                      <c:pt idx="15">
                        <c:v>46478</c:v>
                      </c:pt>
                      <c:pt idx="16">
                        <c:v>46508</c:v>
                      </c:pt>
                      <c:pt idx="17">
                        <c:v>46539</c:v>
                      </c:pt>
                      <c:pt idx="18">
                        <c:v>46569</c:v>
                      </c:pt>
                      <c:pt idx="19">
                        <c:v>46600</c:v>
                      </c:pt>
                      <c:pt idx="20">
                        <c:v>46631</c:v>
                      </c:pt>
                      <c:pt idx="21">
                        <c:v>46661</c:v>
                      </c:pt>
                      <c:pt idx="22">
                        <c:v>46692</c:v>
                      </c:pt>
                      <c:pt idx="23">
                        <c:v>46722</c:v>
                      </c:pt>
                      <c:pt idx="24">
                        <c:v>46753</c:v>
                      </c:pt>
                      <c:pt idx="25">
                        <c:v>46784</c:v>
                      </c:pt>
                      <c:pt idx="26">
                        <c:v>46813</c:v>
                      </c:pt>
                      <c:pt idx="27">
                        <c:v>46844</c:v>
                      </c:pt>
                      <c:pt idx="28">
                        <c:v>46874</c:v>
                      </c:pt>
                      <c:pt idx="29">
                        <c:v>46905</c:v>
                      </c:pt>
                      <c:pt idx="30">
                        <c:v>46935</c:v>
                      </c:pt>
                      <c:pt idx="31">
                        <c:v>46966</c:v>
                      </c:pt>
                      <c:pt idx="32">
                        <c:v>46997</c:v>
                      </c:pt>
                      <c:pt idx="33">
                        <c:v>47027</c:v>
                      </c:pt>
                      <c:pt idx="34">
                        <c:v>47058</c:v>
                      </c:pt>
                      <c:pt idx="35">
                        <c:v>47088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'pfe peak march start 2027-12'!$L$6:$L$41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52.75</c:v>
                      </c:pt>
                      <c:pt idx="4">
                        <c:v>48</c:v>
                      </c:pt>
                      <c:pt idx="5">
                        <c:v>63</c:v>
                      </c:pt>
                      <c:pt idx="6">
                        <c:v>94</c:v>
                      </c:pt>
                      <c:pt idx="7">
                        <c:v>75</c:v>
                      </c:pt>
                      <c:pt idx="8">
                        <c:v>52</c:v>
                      </c:pt>
                      <c:pt idx="9">
                        <c:v>50</c:v>
                      </c:pt>
                      <c:pt idx="10">
                        <c:v>71.650000000000006</c:v>
                      </c:pt>
                      <c:pt idx="11">
                        <c:v>116.5</c:v>
                      </c:pt>
                      <c:pt idx="12">
                        <c:v>153</c:v>
                      </c:pt>
                      <c:pt idx="13">
                        <c:v>134</c:v>
                      </c:pt>
                      <c:pt idx="14">
                        <c:v>74</c:v>
                      </c:pt>
                      <c:pt idx="15">
                        <c:v>51.75</c:v>
                      </c:pt>
                      <c:pt idx="16">
                        <c:v>45.25</c:v>
                      </c:pt>
                      <c:pt idx="17">
                        <c:v>57</c:v>
                      </c:pt>
                      <c:pt idx="18">
                        <c:v>91.25</c:v>
                      </c:pt>
                      <c:pt idx="19">
                        <c:v>72.849999999999994</c:v>
                      </c:pt>
                      <c:pt idx="20">
                        <c:v>47.75</c:v>
                      </c:pt>
                      <c:pt idx="21">
                        <c:v>47.75</c:v>
                      </c:pt>
                      <c:pt idx="22">
                        <c:v>63</c:v>
                      </c:pt>
                      <c:pt idx="23">
                        <c:v>148.31161653329173</c:v>
                      </c:pt>
                      <c:pt idx="24">
                        <c:v>270.54869673759634</c:v>
                      </c:pt>
                      <c:pt idx="25">
                        <c:v>280.35725953321315</c:v>
                      </c:pt>
                      <c:pt idx="26">
                        <c:v>111.39650002125137</c:v>
                      </c:pt>
                      <c:pt idx="27">
                        <c:v>65.770339502139947</c:v>
                      </c:pt>
                      <c:pt idx="28">
                        <c:v>73.653520019424093</c:v>
                      </c:pt>
                      <c:pt idx="29">
                        <c:v>75.390652618330861</c:v>
                      </c:pt>
                      <c:pt idx="30">
                        <c:v>128.06182342296427</c:v>
                      </c:pt>
                      <c:pt idx="31">
                        <c:v>111.88212509697551</c:v>
                      </c:pt>
                      <c:pt idx="32">
                        <c:v>61.863277721584787</c:v>
                      </c:pt>
                      <c:pt idx="33">
                        <c:v>74.453196408990337</c:v>
                      </c:pt>
                      <c:pt idx="34">
                        <c:v>103.65609183335599</c:v>
                      </c:pt>
                      <c:pt idx="35">
                        <c:v>142.72058036447342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F54-45AB-9A28-0EBEF928A440}"/>
                  </c:ext>
                </c:extLst>
              </c15:ser>
            </c15:filteredLineSeries>
          </c:ext>
        </c:extLst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8626103555237414"/>
          <c:y val="0.1463238432775521"/>
          <c:w val="0.1576259630061809"/>
          <c:h val="8.36709064648958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317560829371853"/>
          <c:w val="0.90080050393700783"/>
          <c:h val="0.75407839754296446"/>
        </c:manualLayout>
      </c:layout>
      <c:lineChart>
        <c:grouping val="standard"/>
        <c:varyColors val="0"/>
        <c:ser>
          <c:idx val="0"/>
          <c:order val="0"/>
          <c:tx>
            <c:strRef>
              <c:f>'pfe (2)'!$I$5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(2)'!$I$6:$I$41</c:f>
              <c:numCache>
                <c:formatCode>_("$"* #,##0.00_);_("$"* \(#,##0.00\);_("$"* "-"??_);_(@_)</c:formatCode>
                <c:ptCount val="36"/>
                <c:pt idx="0">
                  <c:v>133.85238095238</c:v>
                </c:pt>
                <c:pt idx="1">
                  <c:v>116.85238095238</c:v>
                </c:pt>
                <c:pt idx="2">
                  <c:v>66.642857142857096</c:v>
                </c:pt>
                <c:pt idx="3">
                  <c:v>49.65</c:v>
                </c:pt>
                <c:pt idx="4">
                  <c:v>45.1666666666666</c:v>
                </c:pt>
                <c:pt idx="5">
                  <c:v>52.619047619047599</c:v>
                </c:pt>
                <c:pt idx="6">
                  <c:v>75.059523809523796</c:v>
                </c:pt>
                <c:pt idx="7">
                  <c:v>61.790476190476099</c:v>
                </c:pt>
                <c:pt idx="8">
                  <c:v>48.5833333333333</c:v>
                </c:pt>
                <c:pt idx="9">
                  <c:v>47.297619047619001</c:v>
                </c:pt>
                <c:pt idx="10">
                  <c:v>63.297619047619001</c:v>
                </c:pt>
                <c:pt idx="11">
                  <c:v>97.869047619047606</c:v>
                </c:pt>
                <c:pt idx="12">
                  <c:v>133.578571428571</c:v>
                </c:pt>
                <c:pt idx="13">
                  <c:v>109.578571428571</c:v>
                </c:pt>
                <c:pt idx="14">
                  <c:v>65.309523809523796</c:v>
                </c:pt>
                <c:pt idx="15">
                  <c:v>46.904761904761898</c:v>
                </c:pt>
                <c:pt idx="16">
                  <c:v>43.142857142857103</c:v>
                </c:pt>
                <c:pt idx="17">
                  <c:v>47.107142857142797</c:v>
                </c:pt>
                <c:pt idx="18">
                  <c:v>68.452380952380906</c:v>
                </c:pt>
                <c:pt idx="19">
                  <c:v>60.011904761904702</c:v>
                </c:pt>
                <c:pt idx="20">
                  <c:v>45.1666666666666</c:v>
                </c:pt>
                <c:pt idx="21">
                  <c:v>43.940476190476097</c:v>
                </c:pt>
                <c:pt idx="22">
                  <c:v>59.126190476190402</c:v>
                </c:pt>
                <c:pt idx="23">
                  <c:v>89.130952380952294</c:v>
                </c:pt>
                <c:pt idx="24">
                  <c:v>131.67380952380901</c:v>
                </c:pt>
                <c:pt idx="25">
                  <c:v>105.911904761904</c:v>
                </c:pt>
                <c:pt idx="26">
                  <c:v>61.642857142857103</c:v>
                </c:pt>
                <c:pt idx="27">
                  <c:v>43.238095238095198</c:v>
                </c:pt>
                <c:pt idx="28">
                  <c:v>39.476190476190403</c:v>
                </c:pt>
                <c:pt idx="29">
                  <c:v>43.440476190476097</c:v>
                </c:pt>
                <c:pt idx="30">
                  <c:v>64.785714285714207</c:v>
                </c:pt>
                <c:pt idx="31">
                  <c:v>56.345238095238003</c:v>
                </c:pt>
                <c:pt idx="32">
                  <c:v>41.5</c:v>
                </c:pt>
                <c:pt idx="33">
                  <c:v>40.273809523809497</c:v>
                </c:pt>
                <c:pt idx="34">
                  <c:v>55.459523809523802</c:v>
                </c:pt>
                <c:pt idx="35">
                  <c:v>85.702380952380906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C-4F7F-883A-7F7EEF04CA10}"/>
            </c:ext>
          </c:extLst>
        </c:ser>
        <c:ser>
          <c:idx val="1"/>
          <c:order val="1"/>
          <c:tx>
            <c:strRef>
              <c:f>'pfe (2)'!$M$5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(2)'!$M$6:$M$41</c:f>
              <c:numCache>
                <c:formatCode>_("$"* #,##0.00_);_("$"* \(#,##0.00\);_("$"* "-"??_);_(@_)</c:formatCode>
                <c:ptCount val="36"/>
                <c:pt idx="0">
                  <c:v>149.34254768913365</c:v>
                </c:pt>
                <c:pt idx="1">
                  <c:v>136.72432944353386</c:v>
                </c:pt>
                <c:pt idx="2">
                  <c:v>78.956620939362821</c:v>
                </c:pt>
                <c:pt idx="3">
                  <c:v>59.712553921239781</c:v>
                </c:pt>
                <c:pt idx="4">
                  <c:v>56.767378504881627</c:v>
                </c:pt>
                <c:pt idx="5">
                  <c:v>66.92546235215481</c:v>
                </c:pt>
                <c:pt idx="6">
                  <c:v>90.328093237513428</c:v>
                </c:pt>
                <c:pt idx="7">
                  <c:v>78.158928861880639</c:v>
                </c:pt>
                <c:pt idx="8">
                  <c:v>62.787192733270473</c:v>
                </c:pt>
                <c:pt idx="9">
                  <c:v>63.83268293673077</c:v>
                </c:pt>
                <c:pt idx="10">
                  <c:v>85.099676976134205</c:v>
                </c:pt>
                <c:pt idx="11">
                  <c:v>135.8984642530969</c:v>
                </c:pt>
                <c:pt idx="12">
                  <c:v>196.15880964623821</c:v>
                </c:pt>
                <c:pt idx="13">
                  <c:v>161.61680062969404</c:v>
                </c:pt>
                <c:pt idx="14">
                  <c:v>92.120234242410817</c:v>
                </c:pt>
                <c:pt idx="15">
                  <c:v>64.870336270396137</c:v>
                </c:pt>
                <c:pt idx="16">
                  <c:v>61.669652865248906</c:v>
                </c:pt>
                <c:pt idx="17">
                  <c:v>66.380790473953795</c:v>
                </c:pt>
                <c:pt idx="18">
                  <c:v>87.54417617724971</c:v>
                </c:pt>
                <c:pt idx="19">
                  <c:v>80.215985418539418</c:v>
                </c:pt>
                <c:pt idx="20">
                  <c:v>60.835960835004109</c:v>
                </c:pt>
                <c:pt idx="21">
                  <c:v>61.079955566391334</c:v>
                </c:pt>
                <c:pt idx="22">
                  <c:v>80.585122229783124</c:v>
                </c:pt>
                <c:pt idx="23">
                  <c:v>123.7649679920856</c:v>
                </c:pt>
                <c:pt idx="24">
                  <c:v>193.36168564721859</c:v>
                </c:pt>
                <c:pt idx="25">
                  <c:v>156.20885519002798</c:v>
                </c:pt>
                <c:pt idx="26">
                  <c:v>86.948336293693586</c:v>
                </c:pt>
                <c:pt idx="27">
                  <c:v>59.799254145705227</c:v>
                </c:pt>
                <c:pt idx="28">
                  <c:v>56.428413052197897</c:v>
                </c:pt>
                <c:pt idx="29">
                  <c:v>61.213925812347028</c:v>
                </c:pt>
                <c:pt idx="30">
                  <c:v>82.85485334897264</c:v>
                </c:pt>
                <c:pt idx="31">
                  <c:v>75.314869864302082</c:v>
                </c:pt>
                <c:pt idx="32">
                  <c:v>55.897248147291684</c:v>
                </c:pt>
                <c:pt idx="33">
                  <c:v>55.983064123842368</c:v>
                </c:pt>
                <c:pt idx="34">
                  <c:v>75.587695892495489</c:v>
                </c:pt>
                <c:pt idx="35">
                  <c:v>119.00414112128017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C-4F7F-883A-7F7EEF04CA10}"/>
            </c:ext>
          </c:extLst>
        </c:ser>
        <c:ser>
          <c:idx val="2"/>
          <c:order val="2"/>
          <c:tx>
            <c:strRef>
              <c:f>'pfe (2)'!$J$5</c:f>
              <c:strCache>
                <c:ptCount val="1"/>
                <c:pt idx="0">
                  <c:v>99% lower</c:v>
                </c:pt>
              </c:strCache>
            </c:strRef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(2)'!$J$6:$J$41</c:f>
              <c:numCache>
                <c:formatCode>_("$"* #,##0.00_);_("$"* \(#,##0.00\);_("$"* "-"??_);_(@_)</c:formatCode>
                <c:ptCount val="36"/>
                <c:pt idx="0">
                  <c:v>120.10664905023809</c:v>
                </c:pt>
                <c:pt idx="1">
                  <c:v>100.08725270068736</c:v>
                </c:pt>
                <c:pt idx="2">
                  <c:v>56.5232710957047</c:v>
                </c:pt>
                <c:pt idx="3">
                  <c:v>41.585874392404406</c:v>
                </c:pt>
                <c:pt idx="4">
                  <c:v>36.201637151263007</c:v>
                </c:pt>
                <c:pt idx="5">
                  <c:v>41.777219609733748</c:v>
                </c:pt>
                <c:pt idx="6">
                  <c:v>63.479578208953683</c:v>
                </c:pt>
                <c:pt idx="7">
                  <c:v>49.698804570030411</c:v>
                </c:pt>
                <c:pt idx="8">
                  <c:v>38.304355302360015</c:v>
                </c:pt>
                <c:pt idx="9">
                  <c:v>35.673095373887733</c:v>
                </c:pt>
                <c:pt idx="10">
                  <c:v>48.113539789797422</c:v>
                </c:pt>
                <c:pt idx="11">
                  <c:v>72.007948714630245</c:v>
                </c:pt>
                <c:pt idx="12">
                  <c:v>92.224567695471507</c:v>
                </c:pt>
                <c:pt idx="13">
                  <c:v>75.276842775988555</c:v>
                </c:pt>
                <c:pt idx="14">
                  <c:v>47.209836948834337</c:v>
                </c:pt>
                <c:pt idx="15">
                  <c:v>34.666233436072631</c:v>
                </c:pt>
                <c:pt idx="16">
                  <c:v>30.718827017729314</c:v>
                </c:pt>
                <c:pt idx="17">
                  <c:v>34.089529097345952</c:v>
                </c:pt>
                <c:pt idx="18">
                  <c:v>55.164035122076726</c:v>
                </c:pt>
                <c:pt idx="19">
                  <c:v>46.07189604233394</c:v>
                </c:pt>
                <c:pt idx="20">
                  <c:v>34.382320428490146</c:v>
                </c:pt>
                <c:pt idx="21">
                  <c:v>32.290681310269058</c:v>
                </c:pt>
                <c:pt idx="22">
                  <c:v>44.420332679675532</c:v>
                </c:pt>
                <c:pt idx="23">
                  <c:v>65.578823990565155</c:v>
                </c:pt>
                <c:pt idx="24">
                  <c:v>90.90949266995807</c:v>
                </c:pt>
                <c:pt idx="25">
                  <c:v>72.757964435266885</c:v>
                </c:pt>
                <c:pt idx="26">
                  <c:v>44.55933935856072</c:v>
                </c:pt>
                <c:pt idx="27">
                  <c:v>31.956284223303477</c:v>
                </c:pt>
                <c:pt idx="28">
                  <c:v>28.108065781123152</c:v>
                </c:pt>
                <c:pt idx="29">
                  <c:v>31.436111113524202</c:v>
                </c:pt>
                <c:pt idx="30">
                  <c:v>52.209161588581111</c:v>
                </c:pt>
                <c:pt idx="31">
                  <c:v>43.256949805270061</c:v>
                </c:pt>
                <c:pt idx="32">
                  <c:v>31.591135744258519</c:v>
                </c:pt>
                <c:pt idx="33">
                  <c:v>29.596145996380489</c:v>
                </c:pt>
                <c:pt idx="34">
                  <c:v>41.665638831703106</c:v>
                </c:pt>
                <c:pt idx="35">
                  <c:v>63.05622464379308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CC-4F7F-883A-7F7EEF04CA10}"/>
            </c:ext>
          </c:extLst>
        </c:ser>
        <c:ser>
          <c:idx val="3"/>
          <c:order val="3"/>
          <c:tx>
            <c:strRef>
              <c:f>'pfe (2)'!$K$5</c:f>
              <c:strCache>
                <c:ptCount val="1"/>
                <c:pt idx="0">
                  <c:v>95% lower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(2)'!$K$6:$K$41</c:f>
              <c:numCache>
                <c:formatCode>_("$"* #,##0.00_);_("$"* \(#,##0.00\);_("$"* "-"??_);_(@_)</c:formatCode>
                <c:ptCount val="36"/>
                <c:pt idx="0">
                  <c:v>124.01530069755563</c:v>
                </c:pt>
                <c:pt idx="1">
                  <c:v>104.78324430855987</c:v>
                </c:pt>
                <c:pt idx="2">
                  <c:v>59.369770541530656</c:v>
                </c:pt>
                <c:pt idx="3">
                  <c:v>43.857288234882603</c:v>
                </c:pt>
                <c:pt idx="4">
                  <c:v>38.67647229502083</c:v>
                </c:pt>
                <c:pt idx="5">
                  <c:v>44.773647553340119</c:v>
                </c:pt>
                <c:pt idx="6">
                  <c:v>66.857807438116595</c:v>
                </c:pt>
                <c:pt idx="7">
                  <c:v>53.119025510055948</c:v>
                </c:pt>
                <c:pt idx="8">
                  <c:v>41.190475325086936</c:v>
                </c:pt>
                <c:pt idx="9">
                  <c:v>38.858582038249693</c:v>
                </c:pt>
                <c:pt idx="10">
                  <c:v>52.320556584638915</c:v>
                </c:pt>
                <c:pt idx="11">
                  <c:v>79.054549773622242</c:v>
                </c:pt>
                <c:pt idx="12">
                  <c:v>103.04480844866012</c:v>
                </c:pt>
                <c:pt idx="13">
                  <c:v>84.224465345528273</c:v>
                </c:pt>
                <c:pt idx="14">
                  <c:v>52.084520082552359</c:v>
                </c:pt>
                <c:pt idx="15">
                  <c:v>38.011061201241247</c:v>
                </c:pt>
                <c:pt idx="16">
                  <c:v>34.032618082694974</c:v>
                </c:pt>
                <c:pt idx="17">
                  <c:v>37.597996949382853</c:v>
                </c:pt>
                <c:pt idx="18">
                  <c:v>59.039019582849903</c:v>
                </c:pt>
                <c:pt idx="19">
                  <c:v>49.984609444198242</c:v>
                </c:pt>
                <c:pt idx="20">
                  <c:v>37.390771176697598</c:v>
                </c:pt>
                <c:pt idx="21">
                  <c:v>35.462453671232119</c:v>
                </c:pt>
                <c:pt idx="22">
                  <c:v>48.484803157288376</c:v>
                </c:pt>
                <c:pt idx="23">
                  <c:v>71.996279546905384</c:v>
                </c:pt>
                <c:pt idx="24">
                  <c:v>101.5754423406279</c:v>
                </c:pt>
                <c:pt idx="25">
                  <c:v>81.406185862832103</c:v>
                </c:pt>
                <c:pt idx="26">
                  <c:v>49.160343599609185</c:v>
                </c:pt>
                <c:pt idx="27">
                  <c:v>35.039638142870075</c:v>
                </c:pt>
                <c:pt idx="28">
                  <c:v>31.140221181627048</c:v>
                </c:pt>
                <c:pt idx="29">
                  <c:v>34.671491247990375</c:v>
                </c:pt>
                <c:pt idx="30">
                  <c:v>55.876581664325045</c:v>
                </c:pt>
                <c:pt idx="31">
                  <c:v>46.930600376788362</c:v>
                </c:pt>
                <c:pt idx="32">
                  <c:v>34.355358018441756</c:v>
                </c:pt>
                <c:pt idx="33">
                  <c:v>32.503245941419245</c:v>
                </c:pt>
                <c:pt idx="34">
                  <c:v>45.4780541997632</c:v>
                </c:pt>
                <c:pt idx="35">
                  <c:v>69.226822019256332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CC-4F7F-883A-7F7EEF04CA10}"/>
            </c:ext>
          </c:extLst>
        </c:ser>
        <c:ser>
          <c:idx val="4"/>
          <c:order val="4"/>
          <c:tx>
            <c:strRef>
              <c:f>'pfe (2)'!$L$5</c:f>
              <c:strCache>
                <c:ptCount val="1"/>
                <c:pt idx="0">
                  <c:v>95% upper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(2)'!$L$6:$L$41</c:f>
              <c:numCache>
                <c:formatCode>_("$"* #,##0.00_);_("$"* \(#,##0.00\);_("$"* "-"??_);_(@_)</c:formatCode>
                <c:ptCount val="36"/>
                <c:pt idx="0">
                  <c:v>144.63564465574657</c:v>
                </c:pt>
                <c:pt idx="1">
                  <c:v>130.59685832068769</c:v>
                </c:pt>
                <c:pt idx="2">
                  <c:v>75.17102473950942</c:v>
                </c:pt>
                <c:pt idx="3">
                  <c:v>56.619979642136201</c:v>
                </c:pt>
                <c:pt idx="4">
                  <c:v>53.134940099661044</c:v>
                </c:pt>
                <c:pt idx="5">
                  <c:v>62.446548158445964</c:v>
                </c:pt>
                <c:pt idx="6">
                  <c:v>85.763944090505191</c:v>
                </c:pt>
                <c:pt idx="7">
                  <c:v>73.126441865432184</c:v>
                </c:pt>
                <c:pt idx="8">
                  <c:v>58.387841361669778</c:v>
                </c:pt>
                <c:pt idx="9">
                  <c:v>58.599909387627797</c:v>
                </c:pt>
                <c:pt idx="10">
                  <c:v>78.256940704874921</c:v>
                </c:pt>
                <c:pt idx="11">
                  <c:v>123.78502783655325</c:v>
                </c:pt>
                <c:pt idx="12">
                  <c:v>175.56111454460992</c:v>
                </c:pt>
                <c:pt idx="13">
                  <c:v>144.44736978797215</c:v>
                </c:pt>
                <c:pt idx="14">
                  <c:v>83.498537211817236</c:v>
                </c:pt>
                <c:pt idx="15">
                  <c:v>59.16199519714138</c:v>
                </c:pt>
                <c:pt idx="16">
                  <c:v>55.664815266571495</c:v>
                </c:pt>
                <c:pt idx="17">
                  <c:v>60.186448001821461</c:v>
                </c:pt>
                <c:pt idx="18">
                  <c:v>81.798275843623998</c:v>
                </c:pt>
                <c:pt idx="19">
                  <c:v>73.936809394542266</c:v>
                </c:pt>
                <c:pt idx="20">
                  <c:v>55.94111683654576</c:v>
                </c:pt>
                <c:pt idx="21">
                  <c:v>55.616946247566595</c:v>
                </c:pt>
                <c:pt idx="22">
                  <c:v>73.829689003103297</c:v>
                </c:pt>
                <c:pt idx="23">
                  <c:v>112.73306208639745</c:v>
                </c:pt>
                <c:pt idx="24">
                  <c:v>173.05770311142996</c:v>
                </c:pt>
                <c:pt idx="25">
                  <c:v>139.61393977529374</c:v>
                </c:pt>
                <c:pt idx="26">
                  <c:v>78.810686416840952</c:v>
                </c:pt>
                <c:pt idx="27">
                  <c:v>54.537148872085616</c:v>
                </c:pt>
                <c:pt idx="28">
                  <c:v>50.933920370847382</c:v>
                </c:pt>
                <c:pt idx="29">
                  <c:v>55.501730795715524</c:v>
                </c:pt>
                <c:pt idx="30">
                  <c:v>77.416733415826357</c:v>
                </c:pt>
                <c:pt idx="31">
                  <c:v>69.419345142703506</c:v>
                </c:pt>
                <c:pt idx="32">
                  <c:v>51.39977155830227</c:v>
                </c:pt>
                <c:pt idx="33">
                  <c:v>50.975922285428901</c:v>
                </c:pt>
                <c:pt idx="34">
                  <c:v>69.251195826089756</c:v>
                </c:pt>
                <c:pt idx="35">
                  <c:v>108.39659596099581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CC-4F7F-883A-7F7EEF04C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10952040085901"/>
          <c:y val="0.16186382296618518"/>
          <c:w val="0.16586247985970079"/>
          <c:h val="0.24643700787401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1"/>
          <c:w val="0.90080050393700783"/>
          <c:h val="0.77583438320209974"/>
        </c:manualLayout>
      </c:layout>
      <c:lineChart>
        <c:grouping val="standard"/>
        <c:varyColors val="0"/>
        <c:ser>
          <c:idx val="0"/>
          <c:order val="0"/>
          <c:tx>
            <c:strRef>
              <c:f>'pfe (2)'!$I$5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(2)'!$H$6:$H$22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(2)'!$I$6:$I$23</c:f>
              <c:numCache>
                <c:formatCode>_("$"* #,##0.00_);_("$"* \(#,##0.00\);_("$"* "-"??_);_(@_)</c:formatCode>
                <c:ptCount val="18"/>
                <c:pt idx="0">
                  <c:v>133.85238095238</c:v>
                </c:pt>
                <c:pt idx="1">
                  <c:v>116.85238095238</c:v>
                </c:pt>
                <c:pt idx="2">
                  <c:v>66.642857142857096</c:v>
                </c:pt>
                <c:pt idx="3">
                  <c:v>49.65</c:v>
                </c:pt>
                <c:pt idx="4">
                  <c:v>45.1666666666666</c:v>
                </c:pt>
                <c:pt idx="5">
                  <c:v>52.619047619047599</c:v>
                </c:pt>
                <c:pt idx="6">
                  <c:v>75.059523809523796</c:v>
                </c:pt>
                <c:pt idx="7">
                  <c:v>61.790476190476099</c:v>
                </c:pt>
                <c:pt idx="8">
                  <c:v>48.5833333333333</c:v>
                </c:pt>
                <c:pt idx="9">
                  <c:v>47.297619047619001</c:v>
                </c:pt>
                <c:pt idx="10">
                  <c:v>63.297619047619001</c:v>
                </c:pt>
                <c:pt idx="11">
                  <c:v>97.869047619047606</c:v>
                </c:pt>
                <c:pt idx="12">
                  <c:v>133.578571428571</c:v>
                </c:pt>
                <c:pt idx="13">
                  <c:v>109.578571428571</c:v>
                </c:pt>
                <c:pt idx="14">
                  <c:v>65.309523809523796</c:v>
                </c:pt>
                <c:pt idx="15">
                  <c:v>46.904761904761898</c:v>
                </c:pt>
                <c:pt idx="16">
                  <c:v>43.142857142857103</c:v>
                </c:pt>
                <c:pt idx="17">
                  <c:v>47.107142857142797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B-4DFB-A5FA-AD064DA3DABF}"/>
            </c:ext>
          </c:extLst>
        </c:ser>
        <c:ser>
          <c:idx val="1"/>
          <c:order val="1"/>
          <c:tx>
            <c:strRef>
              <c:f>'pfe (2)'!$M$5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(2)'!$H$6:$H$22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(2)'!$M$6:$M$33</c:f>
              <c:numCache>
                <c:formatCode>_("$"* #,##0.00_);_("$"* \(#,##0.00\);_("$"* "-"??_);_(@_)</c:formatCode>
                <c:ptCount val="28"/>
                <c:pt idx="0">
                  <c:v>149.34254768913365</c:v>
                </c:pt>
                <c:pt idx="1">
                  <c:v>136.72432944353386</c:v>
                </c:pt>
                <c:pt idx="2">
                  <c:v>78.956620939362821</c:v>
                </c:pt>
                <c:pt idx="3">
                  <c:v>59.712553921239781</c:v>
                </c:pt>
                <c:pt idx="4">
                  <c:v>56.767378504881627</c:v>
                </c:pt>
                <c:pt idx="5">
                  <c:v>66.92546235215481</c:v>
                </c:pt>
                <c:pt idx="6">
                  <c:v>90.328093237513428</c:v>
                </c:pt>
                <c:pt idx="7">
                  <c:v>78.158928861880639</c:v>
                </c:pt>
                <c:pt idx="8">
                  <c:v>62.787192733270473</c:v>
                </c:pt>
                <c:pt idx="9">
                  <c:v>63.83268293673077</c:v>
                </c:pt>
                <c:pt idx="10">
                  <c:v>85.099676976134205</c:v>
                </c:pt>
                <c:pt idx="11">
                  <c:v>135.8984642530969</c:v>
                </c:pt>
                <c:pt idx="12">
                  <c:v>196.15880964623821</c:v>
                </c:pt>
                <c:pt idx="13">
                  <c:v>161.61680062969404</c:v>
                </c:pt>
                <c:pt idx="14">
                  <c:v>92.120234242410817</c:v>
                </c:pt>
                <c:pt idx="15">
                  <c:v>64.870336270396137</c:v>
                </c:pt>
                <c:pt idx="16">
                  <c:v>61.669652865248906</c:v>
                </c:pt>
                <c:pt idx="17">
                  <c:v>66.380790473953795</c:v>
                </c:pt>
                <c:pt idx="18">
                  <c:v>87.54417617724971</c:v>
                </c:pt>
                <c:pt idx="19">
                  <c:v>80.215985418539418</c:v>
                </c:pt>
                <c:pt idx="20">
                  <c:v>60.835960835004109</c:v>
                </c:pt>
                <c:pt idx="21">
                  <c:v>61.079955566391334</c:v>
                </c:pt>
                <c:pt idx="22">
                  <c:v>80.585122229783124</c:v>
                </c:pt>
                <c:pt idx="23">
                  <c:v>123.7649679920856</c:v>
                </c:pt>
                <c:pt idx="24">
                  <c:v>193.36168564721859</c:v>
                </c:pt>
                <c:pt idx="25">
                  <c:v>156.20885519002798</c:v>
                </c:pt>
                <c:pt idx="26">
                  <c:v>86.948336293693586</c:v>
                </c:pt>
                <c:pt idx="27">
                  <c:v>59.799254145705227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B-4DFB-A5FA-AD064DA3DABF}"/>
            </c:ext>
          </c:extLst>
        </c:ser>
        <c:ser>
          <c:idx val="2"/>
          <c:order val="2"/>
          <c:tx>
            <c:strRef>
              <c:f>'pfe (2)'!$J$5</c:f>
              <c:strCache>
                <c:ptCount val="1"/>
                <c:pt idx="0">
                  <c:v>99% lower</c:v>
                </c:pt>
              </c:strCache>
            </c:strRef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'pfe (2)'!$H$6:$H$22</c:f>
              <c:numCache>
                <c:formatCode>yyyy\-mm\-dd;@</c:formatCode>
                <c:ptCount val="1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</c:numCache>
            </c:numRef>
          </c:cat>
          <c:val>
            <c:numRef>
              <c:f>'pfe (2)'!$J$6:$J$33</c:f>
              <c:numCache>
                <c:formatCode>_("$"* #,##0.00_);_("$"* \(#,##0.00\);_("$"* "-"??_);_(@_)</c:formatCode>
                <c:ptCount val="28"/>
                <c:pt idx="0">
                  <c:v>120.10664905023809</c:v>
                </c:pt>
                <c:pt idx="1">
                  <c:v>100.08725270068736</c:v>
                </c:pt>
                <c:pt idx="2">
                  <c:v>56.5232710957047</c:v>
                </c:pt>
                <c:pt idx="3">
                  <c:v>41.585874392404406</c:v>
                </c:pt>
                <c:pt idx="4">
                  <c:v>36.201637151263007</c:v>
                </c:pt>
                <c:pt idx="5">
                  <c:v>41.777219609733748</c:v>
                </c:pt>
                <c:pt idx="6">
                  <c:v>63.479578208953683</c:v>
                </c:pt>
                <c:pt idx="7">
                  <c:v>49.698804570030411</c:v>
                </c:pt>
                <c:pt idx="8">
                  <c:v>38.304355302360015</c:v>
                </c:pt>
                <c:pt idx="9">
                  <c:v>35.673095373887733</c:v>
                </c:pt>
                <c:pt idx="10">
                  <c:v>48.113539789797422</c:v>
                </c:pt>
                <c:pt idx="11">
                  <c:v>72.007948714630245</c:v>
                </c:pt>
                <c:pt idx="12">
                  <c:v>92.224567695471507</c:v>
                </c:pt>
                <c:pt idx="13">
                  <c:v>75.276842775988555</c:v>
                </c:pt>
                <c:pt idx="14">
                  <c:v>47.209836948834337</c:v>
                </c:pt>
                <c:pt idx="15">
                  <c:v>34.666233436072631</c:v>
                </c:pt>
                <c:pt idx="16">
                  <c:v>30.718827017729314</c:v>
                </c:pt>
                <c:pt idx="17">
                  <c:v>34.089529097345952</c:v>
                </c:pt>
                <c:pt idx="18">
                  <c:v>55.164035122076726</c:v>
                </c:pt>
                <c:pt idx="19">
                  <c:v>46.07189604233394</c:v>
                </c:pt>
                <c:pt idx="20">
                  <c:v>34.382320428490146</c:v>
                </c:pt>
                <c:pt idx="21">
                  <c:v>32.290681310269058</c:v>
                </c:pt>
                <c:pt idx="22">
                  <c:v>44.420332679675532</c:v>
                </c:pt>
                <c:pt idx="23">
                  <c:v>65.578823990565155</c:v>
                </c:pt>
                <c:pt idx="24">
                  <c:v>90.90949266995807</c:v>
                </c:pt>
                <c:pt idx="25">
                  <c:v>72.757964435266885</c:v>
                </c:pt>
                <c:pt idx="26">
                  <c:v>44.55933935856072</c:v>
                </c:pt>
                <c:pt idx="27">
                  <c:v>31.956284223303477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B-4DFB-A5FA-AD064DA3DABF}"/>
            </c:ext>
          </c:extLst>
        </c:ser>
        <c:ser>
          <c:idx val="3"/>
          <c:order val="3"/>
          <c:tx>
            <c:strRef>
              <c:f>pfe!#REF!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pfe!#REF!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1B-4DFB-A5FA-AD064DA3DABF}"/>
            </c:ext>
          </c:extLst>
        </c:ser>
        <c:ser>
          <c:idx val="4"/>
          <c:order val="4"/>
          <c:tx>
            <c:strRef>
              <c:f>pfe!#REF!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pfe!#REF!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1B-4DFB-A5FA-AD064DA3D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solidFill>
          <a:schemeClr val="bg2">
            <a:lumMod val="90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573400524934379"/>
          <c:y val="1.5000524934383202E-2"/>
          <c:w val="0.23700383605895417"/>
          <c:h val="0.24643700787401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0150737527235847"/>
          <c:w val="0.90080050393700783"/>
          <c:h val="0.78432686360064874"/>
        </c:manualLayout>
      </c:layout>
      <c:lineChart>
        <c:grouping val="standard"/>
        <c:varyColors val="0"/>
        <c:ser>
          <c:idx val="0"/>
          <c:order val="0"/>
          <c:tx>
            <c:strRef>
              <c:f>'pfe (2)'!$I$5</c:f>
              <c:strCache>
                <c:ptCount val="1"/>
                <c:pt idx="0">
                  <c:v>forward curve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(2)'!$I$6:$I$41</c:f>
              <c:numCache>
                <c:formatCode>_("$"* #,##0.00_);_("$"* \(#,##0.00\);_("$"* "-"??_);_(@_)</c:formatCode>
                <c:ptCount val="36"/>
                <c:pt idx="0">
                  <c:v>133.85238095238</c:v>
                </c:pt>
                <c:pt idx="1">
                  <c:v>116.85238095238</c:v>
                </c:pt>
                <c:pt idx="2">
                  <c:v>66.642857142857096</c:v>
                </c:pt>
                <c:pt idx="3">
                  <c:v>49.65</c:v>
                </c:pt>
                <c:pt idx="4">
                  <c:v>45.1666666666666</c:v>
                </c:pt>
                <c:pt idx="5">
                  <c:v>52.619047619047599</c:v>
                </c:pt>
                <c:pt idx="6">
                  <c:v>75.059523809523796</c:v>
                </c:pt>
                <c:pt idx="7">
                  <c:v>61.790476190476099</c:v>
                </c:pt>
                <c:pt idx="8">
                  <c:v>48.5833333333333</c:v>
                </c:pt>
                <c:pt idx="9">
                  <c:v>47.297619047619001</c:v>
                </c:pt>
                <c:pt idx="10">
                  <c:v>63.297619047619001</c:v>
                </c:pt>
                <c:pt idx="11">
                  <c:v>97.869047619047606</c:v>
                </c:pt>
                <c:pt idx="12">
                  <c:v>133.578571428571</c:v>
                </c:pt>
                <c:pt idx="13">
                  <c:v>109.578571428571</c:v>
                </c:pt>
                <c:pt idx="14">
                  <c:v>65.309523809523796</c:v>
                </c:pt>
                <c:pt idx="15">
                  <c:v>46.904761904761898</c:v>
                </c:pt>
                <c:pt idx="16">
                  <c:v>43.142857142857103</c:v>
                </c:pt>
                <c:pt idx="17">
                  <c:v>47.107142857142797</c:v>
                </c:pt>
                <c:pt idx="18">
                  <c:v>68.452380952380906</c:v>
                </c:pt>
                <c:pt idx="19">
                  <c:v>60.011904761904702</c:v>
                </c:pt>
                <c:pt idx="20">
                  <c:v>45.1666666666666</c:v>
                </c:pt>
                <c:pt idx="21">
                  <c:v>43.940476190476097</c:v>
                </c:pt>
                <c:pt idx="22">
                  <c:v>59.126190476190402</c:v>
                </c:pt>
                <c:pt idx="23">
                  <c:v>89.130952380952294</c:v>
                </c:pt>
                <c:pt idx="24">
                  <c:v>131.67380952380901</c:v>
                </c:pt>
                <c:pt idx="25">
                  <c:v>105.911904761904</c:v>
                </c:pt>
                <c:pt idx="26">
                  <c:v>61.642857142857103</c:v>
                </c:pt>
                <c:pt idx="27">
                  <c:v>43.238095238095198</c:v>
                </c:pt>
                <c:pt idx="28">
                  <c:v>39.476190476190403</c:v>
                </c:pt>
                <c:pt idx="29">
                  <c:v>43.440476190476097</c:v>
                </c:pt>
                <c:pt idx="30">
                  <c:v>64.785714285714207</c:v>
                </c:pt>
                <c:pt idx="31">
                  <c:v>56.345238095238003</c:v>
                </c:pt>
                <c:pt idx="32">
                  <c:v>41.5</c:v>
                </c:pt>
                <c:pt idx="33">
                  <c:v>40.273809523809497</c:v>
                </c:pt>
                <c:pt idx="34">
                  <c:v>55.459523809523802</c:v>
                </c:pt>
                <c:pt idx="35">
                  <c:v>85.702380952380906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5-4115-8D8B-C4347A5A02BD}"/>
            </c:ext>
          </c:extLst>
        </c:ser>
        <c:ser>
          <c:idx val="1"/>
          <c:order val="1"/>
          <c:tx>
            <c:strRef>
              <c:f>'pfe (2)'!$M$5</c:f>
              <c:strCache>
                <c:ptCount val="1"/>
                <c:pt idx="0">
                  <c:v>99% upper</c:v>
                </c:pt>
              </c:strCache>
            </c:strRef>
          </c:tx>
          <c:spPr>
            <a:ln w="25400">
              <a:solidFill>
                <a:srgbClr val="800080"/>
              </a:solidFill>
              <a:prstDash val="dash"/>
            </a:ln>
          </c:spPr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(2)'!$M$6:$M$41</c:f>
              <c:numCache>
                <c:formatCode>_("$"* #,##0.00_);_("$"* \(#,##0.00\);_("$"* "-"??_);_(@_)</c:formatCode>
                <c:ptCount val="36"/>
                <c:pt idx="0">
                  <c:v>149.34254768913365</c:v>
                </c:pt>
                <c:pt idx="1">
                  <c:v>136.72432944353386</c:v>
                </c:pt>
                <c:pt idx="2">
                  <c:v>78.956620939362821</c:v>
                </c:pt>
                <c:pt idx="3">
                  <c:v>59.712553921239781</c:v>
                </c:pt>
                <c:pt idx="4">
                  <c:v>56.767378504881627</c:v>
                </c:pt>
                <c:pt idx="5">
                  <c:v>66.92546235215481</c:v>
                </c:pt>
                <c:pt idx="6">
                  <c:v>90.328093237513428</c:v>
                </c:pt>
                <c:pt idx="7">
                  <c:v>78.158928861880639</c:v>
                </c:pt>
                <c:pt idx="8">
                  <c:v>62.787192733270473</c:v>
                </c:pt>
                <c:pt idx="9">
                  <c:v>63.83268293673077</c:v>
                </c:pt>
                <c:pt idx="10">
                  <c:v>85.099676976134205</c:v>
                </c:pt>
                <c:pt idx="11">
                  <c:v>135.8984642530969</c:v>
                </c:pt>
                <c:pt idx="12">
                  <c:v>196.15880964623821</c:v>
                </c:pt>
                <c:pt idx="13">
                  <c:v>161.61680062969404</c:v>
                </c:pt>
                <c:pt idx="14">
                  <c:v>92.120234242410817</c:v>
                </c:pt>
                <c:pt idx="15">
                  <c:v>64.870336270396137</c:v>
                </c:pt>
                <c:pt idx="16">
                  <c:v>61.669652865248906</c:v>
                </c:pt>
                <c:pt idx="17">
                  <c:v>66.380790473953795</c:v>
                </c:pt>
                <c:pt idx="18">
                  <c:v>87.54417617724971</c:v>
                </c:pt>
                <c:pt idx="19">
                  <c:v>80.215985418539418</c:v>
                </c:pt>
                <c:pt idx="20">
                  <c:v>60.835960835004109</c:v>
                </c:pt>
                <c:pt idx="21">
                  <c:v>61.079955566391334</c:v>
                </c:pt>
                <c:pt idx="22">
                  <c:v>80.585122229783124</c:v>
                </c:pt>
                <c:pt idx="23">
                  <c:v>123.7649679920856</c:v>
                </c:pt>
                <c:pt idx="24">
                  <c:v>193.36168564721859</c:v>
                </c:pt>
                <c:pt idx="25">
                  <c:v>156.20885519002798</c:v>
                </c:pt>
                <c:pt idx="26">
                  <c:v>86.948336293693586</c:v>
                </c:pt>
                <c:pt idx="27">
                  <c:v>59.799254145705227</c:v>
                </c:pt>
                <c:pt idx="28">
                  <c:v>56.428413052197897</c:v>
                </c:pt>
                <c:pt idx="29">
                  <c:v>61.213925812347028</c:v>
                </c:pt>
                <c:pt idx="30">
                  <c:v>82.85485334897264</c:v>
                </c:pt>
                <c:pt idx="31">
                  <c:v>75.314869864302082</c:v>
                </c:pt>
                <c:pt idx="32">
                  <c:v>55.897248147291684</c:v>
                </c:pt>
                <c:pt idx="33">
                  <c:v>55.983064123842368</c:v>
                </c:pt>
                <c:pt idx="34">
                  <c:v>75.587695892495489</c:v>
                </c:pt>
                <c:pt idx="35">
                  <c:v>119.00414112128017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5-4115-8D8B-C4347A5A02BD}"/>
            </c:ext>
          </c:extLst>
        </c:ser>
        <c:ser>
          <c:idx val="4"/>
          <c:order val="2"/>
          <c:tx>
            <c:strRef>
              <c:f>'pfe (2)'!$L$5</c:f>
              <c:strCache>
                <c:ptCount val="1"/>
                <c:pt idx="0">
                  <c:v>95% upper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(2)'!$L$6:$L$41</c:f>
              <c:numCache>
                <c:formatCode>_("$"* #,##0.00_);_("$"* \(#,##0.00\);_("$"* "-"??_);_(@_)</c:formatCode>
                <c:ptCount val="36"/>
                <c:pt idx="0">
                  <c:v>144.63564465574657</c:v>
                </c:pt>
                <c:pt idx="1">
                  <c:v>130.59685832068769</c:v>
                </c:pt>
                <c:pt idx="2">
                  <c:v>75.17102473950942</c:v>
                </c:pt>
                <c:pt idx="3">
                  <c:v>56.619979642136201</c:v>
                </c:pt>
                <c:pt idx="4">
                  <c:v>53.134940099661044</c:v>
                </c:pt>
                <c:pt idx="5">
                  <c:v>62.446548158445964</c:v>
                </c:pt>
                <c:pt idx="6">
                  <c:v>85.763944090505191</c:v>
                </c:pt>
                <c:pt idx="7">
                  <c:v>73.126441865432184</c:v>
                </c:pt>
                <c:pt idx="8">
                  <c:v>58.387841361669778</c:v>
                </c:pt>
                <c:pt idx="9">
                  <c:v>58.599909387627797</c:v>
                </c:pt>
                <c:pt idx="10">
                  <c:v>78.256940704874921</c:v>
                </c:pt>
                <c:pt idx="11">
                  <c:v>123.78502783655325</c:v>
                </c:pt>
                <c:pt idx="12">
                  <c:v>175.56111454460992</c:v>
                </c:pt>
                <c:pt idx="13">
                  <c:v>144.44736978797215</c:v>
                </c:pt>
                <c:pt idx="14">
                  <c:v>83.498537211817236</c:v>
                </c:pt>
                <c:pt idx="15">
                  <c:v>59.16199519714138</c:v>
                </c:pt>
                <c:pt idx="16">
                  <c:v>55.664815266571495</c:v>
                </c:pt>
                <c:pt idx="17">
                  <c:v>60.186448001821461</c:v>
                </c:pt>
                <c:pt idx="18">
                  <c:v>81.798275843623998</c:v>
                </c:pt>
                <c:pt idx="19">
                  <c:v>73.936809394542266</c:v>
                </c:pt>
                <c:pt idx="20">
                  <c:v>55.94111683654576</c:v>
                </c:pt>
                <c:pt idx="21">
                  <c:v>55.616946247566595</c:v>
                </c:pt>
                <c:pt idx="22">
                  <c:v>73.829689003103297</c:v>
                </c:pt>
                <c:pt idx="23">
                  <c:v>112.73306208639745</c:v>
                </c:pt>
                <c:pt idx="24">
                  <c:v>173.05770311142996</c:v>
                </c:pt>
                <c:pt idx="25">
                  <c:v>139.61393977529374</c:v>
                </c:pt>
                <c:pt idx="26">
                  <c:v>78.810686416840952</c:v>
                </c:pt>
                <c:pt idx="27">
                  <c:v>54.537148872085616</c:v>
                </c:pt>
                <c:pt idx="28">
                  <c:v>50.933920370847382</c:v>
                </c:pt>
                <c:pt idx="29">
                  <c:v>55.501730795715524</c:v>
                </c:pt>
                <c:pt idx="30">
                  <c:v>77.416733415826357</c:v>
                </c:pt>
                <c:pt idx="31">
                  <c:v>69.419345142703506</c:v>
                </c:pt>
                <c:pt idx="32">
                  <c:v>51.39977155830227</c:v>
                </c:pt>
                <c:pt idx="33">
                  <c:v>50.975922285428901</c:v>
                </c:pt>
                <c:pt idx="34">
                  <c:v>69.251195826089756</c:v>
                </c:pt>
                <c:pt idx="35">
                  <c:v>108.39659596099581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5-4115-8D8B-C4347A5A0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956116008537531"/>
          <c:y val="0.12368911235587839"/>
          <c:w val="0.16586247985970079"/>
          <c:h val="0.164342132392686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666834645669276E-2"/>
          <c:y val="0.10150737527235847"/>
          <c:w val="0.90080050393700783"/>
          <c:h val="0.78432686360064874"/>
        </c:manualLayout>
      </c:layout>
      <c:lineChart>
        <c:grouping val="standard"/>
        <c:varyColors val="0"/>
        <c:ser>
          <c:idx val="1"/>
          <c:order val="1"/>
          <c:tx>
            <c:strRef>
              <c:f>'pfe (2)'!$P$5</c:f>
              <c:strCache>
                <c:ptCount val="1"/>
                <c:pt idx="0">
                  <c:v>99% upside risk P/L</c:v>
                </c:pt>
              </c:strCache>
            </c:strRef>
          </c:tx>
          <c:marker>
            <c:symbol val="none"/>
          </c:marker>
          <c:cat>
            <c:numRef>
              <c:f>'pfe (2)'!$H$6:$H$41</c:f>
              <c:numCache>
                <c:formatCode>yyyy\-mm\-dd;@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'pfe (2)'!$P$6:$P$41</c:f>
              <c:numCache>
                <c:formatCode>_("$"* #,##0.00_);_("$"* \(#,##0.00\);_("$"* "-"??_);_(@_)</c:formatCode>
                <c:ptCount val="36"/>
                <c:pt idx="0">
                  <c:v>117551.77733187596</c:v>
                </c:pt>
                <c:pt idx="1">
                  <c:v>137545.67867637056</c:v>
                </c:pt>
                <c:pt idx="2">
                  <c:v>103524.27498998294</c:v>
                </c:pt>
                <c:pt idx="3">
                  <c:v>88389.473644170255</c:v>
                </c:pt>
                <c:pt idx="4">
                  <c:v>98392.597527004575</c:v>
                </c:pt>
                <c:pt idx="5">
                  <c:v>84465.072584264824</c:v>
                </c:pt>
                <c:pt idx="6">
                  <c:v>57935.059837563713</c:v>
                </c:pt>
                <c:pt idx="7">
                  <c:v>32880.947726317441</c:v>
                </c:pt>
                <c:pt idx="8">
                  <c:v>46020.504455796443</c:v>
                </c:pt>
                <c:pt idx="9">
                  <c:v>61510.437667495775</c:v>
                </c:pt>
                <c:pt idx="10">
                  <c:v>100463.88293459806</c:v>
                </c:pt>
                <c:pt idx="11">
                  <c:v>277280.08256218024</c:v>
                </c:pt>
                <c:pt idx="12">
                  <c:v>474908.91178623238</c:v>
                </c:pt>
                <c:pt idx="13">
                  <c:v>360187.80723849329</c:v>
                </c:pt>
                <c:pt idx="14">
                  <c:v>225403.00475136779</c:v>
                </c:pt>
                <c:pt idx="15">
                  <c:v>157809.60522773117</c:v>
                </c:pt>
                <c:pt idx="16">
                  <c:v>157136.87059903832</c:v>
                </c:pt>
                <c:pt idx="17">
                  <c:v>113791.61552965194</c:v>
                </c:pt>
                <c:pt idx="18">
                  <c:v>72441.907801242007</c:v>
                </c:pt>
                <c:pt idx="19">
                  <c:v>40585.957223047815</c:v>
                </c:pt>
                <c:pt idx="20">
                  <c:v>50768.513105413527</c:v>
                </c:pt>
                <c:pt idx="21">
                  <c:v>63758.863278404679</c:v>
                </c:pt>
                <c:pt idx="22">
                  <c:v>98882.757520555257</c:v>
                </c:pt>
                <c:pt idx="23">
                  <c:v>252523.53462389516</c:v>
                </c:pt>
                <c:pt idx="24">
                  <c:v>468136.95432533004</c:v>
                </c:pt>
                <c:pt idx="25">
                  <c:v>360568.77822913521</c:v>
                </c:pt>
                <c:pt idx="26">
                  <c:v>212748.2243169125</c:v>
                </c:pt>
                <c:pt idx="27">
                  <c:v>145473.21984444649</c:v>
                </c:pt>
                <c:pt idx="28">
                  <c:v>143781.97100066516</c:v>
                </c:pt>
                <c:pt idx="29">
                  <c:v>104934.4465675258</c:v>
                </c:pt>
                <c:pt idx="30">
                  <c:v>68561.541261627615</c:v>
                </c:pt>
                <c:pt idx="31">
                  <c:v>38106.196297695926</c:v>
                </c:pt>
                <c:pt idx="32">
                  <c:v>46647.083997225054</c:v>
                </c:pt>
                <c:pt idx="33">
                  <c:v>58438.427112122277</c:v>
                </c:pt>
                <c:pt idx="34">
                  <c:v>92750.616958333529</c:v>
                </c:pt>
                <c:pt idx="35">
                  <c:v>242809.79374347831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3-46FD-A3A4-98D3D8495EC3}"/>
            </c:ext>
          </c:extLst>
        </c:ser>
        <c:ser>
          <c:idx val="2"/>
          <c:order val="3"/>
          <c:tx>
            <c:strRef>
              <c:f>'pfe (2)'!$U$5</c:f>
              <c:strCache>
                <c:ptCount val="1"/>
                <c:pt idx="0">
                  <c:v>95% upside risk P/L</c:v>
                </c:pt>
              </c:strCache>
            </c:strRef>
          </c:tx>
          <c:marker>
            <c:symbol val="none"/>
          </c:marker>
          <c:val>
            <c:numRef>
              <c:f>'pfe (2)'!$U$6:$U$41</c:f>
              <c:numCache>
                <c:formatCode>_("$"* #,##0.00_);_("$"* \(#,##0.00\);_("$"* "-"??_);_(@_)</c:formatCode>
                <c:ptCount val="36"/>
                <c:pt idx="0">
                  <c:v>81832.031592108135</c:v>
                </c:pt>
                <c:pt idx="1">
                  <c:v>95133.77455247847</c:v>
                </c:pt>
                <c:pt idx="2">
                  <c:v>71698.010618575427</c:v>
                </c:pt>
                <c:pt idx="3">
                  <c:v>61224.301176524401</c:v>
                </c:pt>
                <c:pt idx="4">
                  <c:v>67583.707949285672</c:v>
                </c:pt>
                <c:pt idx="5">
                  <c:v>58021.563184607847</c:v>
                </c:pt>
                <c:pt idx="6">
                  <c:v>40616.852314155702</c:v>
                </c:pt>
                <c:pt idx="7">
                  <c:v>22771.687847851783</c:v>
                </c:pt>
                <c:pt idx="8">
                  <c:v>31766.606011810189</c:v>
                </c:pt>
                <c:pt idx="9">
                  <c:v>42044.520064832723</c:v>
                </c:pt>
                <c:pt idx="10">
                  <c:v>68932.554196635276</c:v>
                </c:pt>
                <c:pt idx="11">
                  <c:v>188958.59496187718</c:v>
                </c:pt>
                <c:pt idx="12">
                  <c:v>318597.12319899577</c:v>
                </c:pt>
                <c:pt idx="13">
                  <c:v>241347.87472443105</c:v>
                </c:pt>
                <c:pt idx="14">
                  <c:v>152918.67347576143</c:v>
                </c:pt>
                <c:pt idx="15">
                  <c:v>107667.53724026137</c:v>
                </c:pt>
                <c:pt idx="16">
                  <c:v>106206.24002209598</c:v>
                </c:pt>
                <c:pt idx="17">
                  <c:v>77220.217574182694</c:v>
                </c:pt>
                <c:pt idx="18">
                  <c:v>50639.663575332655</c:v>
                </c:pt>
                <c:pt idx="19">
                  <c:v>27972.348426042336</c:v>
                </c:pt>
                <c:pt idx="20">
                  <c:v>34909.218550408477</c:v>
                </c:pt>
                <c:pt idx="21">
                  <c:v>43436.468612376651</c:v>
                </c:pt>
                <c:pt idx="22">
                  <c:v>67753.721212014614</c:v>
                </c:pt>
                <c:pt idx="23">
                  <c:v>172087.70228434174</c:v>
                </c:pt>
                <c:pt idx="24">
                  <c:v>314054.09165773744</c:v>
                </c:pt>
                <c:pt idx="25">
                  <c:v>241603.14860398843</c:v>
                </c:pt>
                <c:pt idx="26">
                  <c:v>144333.37427223701</c:v>
                </c:pt>
                <c:pt idx="27">
                  <c:v>99250.887120971835</c:v>
                </c:pt>
                <c:pt idx="28">
                  <c:v>97179.881874522631</c:v>
                </c:pt>
                <c:pt idx="29">
                  <c:v>71209.647189333453</c:v>
                </c:pt>
                <c:pt idx="30">
                  <c:v>47927.138987297418</c:v>
                </c:pt>
                <c:pt idx="31">
                  <c:v>26263.266236948701</c:v>
                </c:pt>
                <c:pt idx="32">
                  <c:v>32075.259848899354</c:v>
                </c:pt>
                <c:pt idx="33">
                  <c:v>39811.859473224184</c:v>
                </c:pt>
                <c:pt idx="34">
                  <c:v>63552.024652335916</c:v>
                </c:pt>
                <c:pt idx="35">
                  <c:v>165468.06047081298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3-46FD-A3A4-98D3D8495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84224"/>
        <c:axId val="342086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'pfe (2)'!$I$5</c15:sqref>
                        </c15:formulaRef>
                      </c:ext>
                    </c:extLst>
                    <c:strCache>
                      <c:ptCount val="1"/>
                      <c:pt idx="0">
                        <c:v>forward curve</c:v>
                      </c:pt>
                    </c:strCache>
                  </c:strRef>
                </c:tx>
                <c:spPr>
                  <a:ln w="19050">
                    <a:solidFill>
                      <a:srgbClr val="000080"/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'pfe (2)'!$H$6:$H$41</c15:sqref>
                        </c15:formulaRef>
                      </c:ext>
                    </c:extLst>
                    <c:numCache>
                      <c:formatCode>yyyy\-mm\-dd;@</c:formatCode>
                      <c:ptCount val="3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  <c:pt idx="12">
                        <c:v>46388</c:v>
                      </c:pt>
                      <c:pt idx="13">
                        <c:v>46419</c:v>
                      </c:pt>
                      <c:pt idx="14">
                        <c:v>46447</c:v>
                      </c:pt>
                      <c:pt idx="15">
                        <c:v>46478</c:v>
                      </c:pt>
                      <c:pt idx="16">
                        <c:v>46508</c:v>
                      </c:pt>
                      <c:pt idx="17">
                        <c:v>46539</c:v>
                      </c:pt>
                      <c:pt idx="18">
                        <c:v>46569</c:v>
                      </c:pt>
                      <c:pt idx="19">
                        <c:v>46600</c:v>
                      </c:pt>
                      <c:pt idx="20">
                        <c:v>46631</c:v>
                      </c:pt>
                      <c:pt idx="21">
                        <c:v>46661</c:v>
                      </c:pt>
                      <c:pt idx="22">
                        <c:v>46692</c:v>
                      </c:pt>
                      <c:pt idx="23">
                        <c:v>46722</c:v>
                      </c:pt>
                      <c:pt idx="24">
                        <c:v>46753</c:v>
                      </c:pt>
                      <c:pt idx="25">
                        <c:v>46784</c:v>
                      </c:pt>
                      <c:pt idx="26">
                        <c:v>46813</c:v>
                      </c:pt>
                      <c:pt idx="27">
                        <c:v>46844</c:v>
                      </c:pt>
                      <c:pt idx="28">
                        <c:v>46874</c:v>
                      </c:pt>
                      <c:pt idx="29">
                        <c:v>46905</c:v>
                      </c:pt>
                      <c:pt idx="30">
                        <c:v>46935</c:v>
                      </c:pt>
                      <c:pt idx="31">
                        <c:v>46966</c:v>
                      </c:pt>
                      <c:pt idx="32">
                        <c:v>46997</c:v>
                      </c:pt>
                      <c:pt idx="33">
                        <c:v>47027</c:v>
                      </c:pt>
                      <c:pt idx="34">
                        <c:v>47058</c:v>
                      </c:pt>
                      <c:pt idx="35">
                        <c:v>47088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'pfe (2)'!$I$6:$I$41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6"/>
                      <c:pt idx="0">
                        <c:v>133.85238095238</c:v>
                      </c:pt>
                      <c:pt idx="1">
                        <c:v>116.85238095238</c:v>
                      </c:pt>
                      <c:pt idx="2">
                        <c:v>66.642857142857096</c:v>
                      </c:pt>
                      <c:pt idx="3">
                        <c:v>49.65</c:v>
                      </c:pt>
                      <c:pt idx="4">
                        <c:v>45.1666666666666</c:v>
                      </c:pt>
                      <c:pt idx="5">
                        <c:v>52.619047619047599</c:v>
                      </c:pt>
                      <c:pt idx="6">
                        <c:v>75.059523809523796</c:v>
                      </c:pt>
                      <c:pt idx="7">
                        <c:v>61.790476190476099</c:v>
                      </c:pt>
                      <c:pt idx="8">
                        <c:v>48.5833333333333</c:v>
                      </c:pt>
                      <c:pt idx="9">
                        <c:v>47.297619047619001</c:v>
                      </c:pt>
                      <c:pt idx="10">
                        <c:v>63.297619047619001</c:v>
                      </c:pt>
                      <c:pt idx="11">
                        <c:v>97.869047619047606</c:v>
                      </c:pt>
                      <c:pt idx="12">
                        <c:v>133.578571428571</c:v>
                      </c:pt>
                      <c:pt idx="13">
                        <c:v>109.578571428571</c:v>
                      </c:pt>
                      <c:pt idx="14">
                        <c:v>65.309523809523796</c:v>
                      </c:pt>
                      <c:pt idx="15">
                        <c:v>46.904761904761898</c:v>
                      </c:pt>
                      <c:pt idx="16">
                        <c:v>43.142857142857103</c:v>
                      </c:pt>
                      <c:pt idx="17">
                        <c:v>47.107142857142797</c:v>
                      </c:pt>
                      <c:pt idx="18">
                        <c:v>68.452380952380906</c:v>
                      </c:pt>
                      <c:pt idx="19">
                        <c:v>60.011904761904702</c:v>
                      </c:pt>
                      <c:pt idx="20">
                        <c:v>45.1666666666666</c:v>
                      </c:pt>
                      <c:pt idx="21">
                        <c:v>43.940476190476097</c:v>
                      </c:pt>
                      <c:pt idx="22">
                        <c:v>59.126190476190402</c:v>
                      </c:pt>
                      <c:pt idx="23">
                        <c:v>89.130952380952294</c:v>
                      </c:pt>
                      <c:pt idx="24">
                        <c:v>131.67380952380901</c:v>
                      </c:pt>
                      <c:pt idx="25">
                        <c:v>105.911904761904</c:v>
                      </c:pt>
                      <c:pt idx="26">
                        <c:v>61.642857142857103</c:v>
                      </c:pt>
                      <c:pt idx="27">
                        <c:v>43.238095238095198</c:v>
                      </c:pt>
                      <c:pt idx="28">
                        <c:v>39.476190476190403</c:v>
                      </c:pt>
                      <c:pt idx="29">
                        <c:v>43.440476190476097</c:v>
                      </c:pt>
                      <c:pt idx="30">
                        <c:v>64.785714285714207</c:v>
                      </c:pt>
                      <c:pt idx="31">
                        <c:v>56.345238095238003</c:v>
                      </c:pt>
                      <c:pt idx="32">
                        <c:v>41.5</c:v>
                      </c:pt>
                      <c:pt idx="33">
                        <c:v>40.273809523809497</c:v>
                      </c:pt>
                      <c:pt idx="34">
                        <c:v>55.459523809523802</c:v>
                      </c:pt>
                      <c:pt idx="35">
                        <c:v>85.702380952380906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0E3-46FD-A3A4-98D3D8495EC3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'pfe (2)'!$L$5</c15:sqref>
                        </c15:formulaRef>
                      </c:ext>
                    </c:extLst>
                    <c:strCache>
                      <c:ptCount val="1"/>
                      <c:pt idx="0">
                        <c:v>95% upper</c:v>
                      </c:pt>
                    </c:strCache>
                  </c:strRef>
                </c:tx>
                <c:spPr>
                  <a:ln>
                    <a:prstDash val="dash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'pfe (2)'!$H$6:$H$41</c15:sqref>
                        </c15:formulaRef>
                      </c:ext>
                    </c:extLst>
                    <c:numCache>
                      <c:formatCode>yyyy\-mm\-dd;@</c:formatCode>
                      <c:ptCount val="36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  <c:pt idx="12">
                        <c:v>46388</c:v>
                      </c:pt>
                      <c:pt idx="13">
                        <c:v>46419</c:v>
                      </c:pt>
                      <c:pt idx="14">
                        <c:v>46447</c:v>
                      </c:pt>
                      <c:pt idx="15">
                        <c:v>46478</c:v>
                      </c:pt>
                      <c:pt idx="16">
                        <c:v>46508</c:v>
                      </c:pt>
                      <c:pt idx="17">
                        <c:v>46539</c:v>
                      </c:pt>
                      <c:pt idx="18">
                        <c:v>46569</c:v>
                      </c:pt>
                      <c:pt idx="19">
                        <c:v>46600</c:v>
                      </c:pt>
                      <c:pt idx="20">
                        <c:v>46631</c:v>
                      </c:pt>
                      <c:pt idx="21">
                        <c:v>46661</c:v>
                      </c:pt>
                      <c:pt idx="22">
                        <c:v>46692</c:v>
                      </c:pt>
                      <c:pt idx="23">
                        <c:v>46722</c:v>
                      </c:pt>
                      <c:pt idx="24">
                        <c:v>46753</c:v>
                      </c:pt>
                      <c:pt idx="25">
                        <c:v>46784</c:v>
                      </c:pt>
                      <c:pt idx="26">
                        <c:v>46813</c:v>
                      </c:pt>
                      <c:pt idx="27">
                        <c:v>46844</c:v>
                      </c:pt>
                      <c:pt idx="28">
                        <c:v>46874</c:v>
                      </c:pt>
                      <c:pt idx="29">
                        <c:v>46905</c:v>
                      </c:pt>
                      <c:pt idx="30">
                        <c:v>46935</c:v>
                      </c:pt>
                      <c:pt idx="31">
                        <c:v>46966</c:v>
                      </c:pt>
                      <c:pt idx="32">
                        <c:v>46997</c:v>
                      </c:pt>
                      <c:pt idx="33">
                        <c:v>47027</c:v>
                      </c:pt>
                      <c:pt idx="34">
                        <c:v>47058</c:v>
                      </c:pt>
                      <c:pt idx="35">
                        <c:v>47088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'pfe (2)'!$L$6:$L$41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6"/>
                      <c:pt idx="0">
                        <c:v>144.63564465574657</c:v>
                      </c:pt>
                      <c:pt idx="1">
                        <c:v>130.59685832068769</c:v>
                      </c:pt>
                      <c:pt idx="2">
                        <c:v>75.17102473950942</c:v>
                      </c:pt>
                      <c:pt idx="3">
                        <c:v>56.619979642136201</c:v>
                      </c:pt>
                      <c:pt idx="4">
                        <c:v>53.134940099661044</c:v>
                      </c:pt>
                      <c:pt idx="5">
                        <c:v>62.446548158445964</c:v>
                      </c:pt>
                      <c:pt idx="6">
                        <c:v>85.763944090505191</c:v>
                      </c:pt>
                      <c:pt idx="7">
                        <c:v>73.126441865432184</c:v>
                      </c:pt>
                      <c:pt idx="8">
                        <c:v>58.387841361669778</c:v>
                      </c:pt>
                      <c:pt idx="9">
                        <c:v>58.599909387627797</c:v>
                      </c:pt>
                      <c:pt idx="10">
                        <c:v>78.256940704874921</c:v>
                      </c:pt>
                      <c:pt idx="11">
                        <c:v>123.78502783655325</c:v>
                      </c:pt>
                      <c:pt idx="12">
                        <c:v>175.56111454460992</c:v>
                      </c:pt>
                      <c:pt idx="13">
                        <c:v>144.44736978797215</c:v>
                      </c:pt>
                      <c:pt idx="14">
                        <c:v>83.498537211817236</c:v>
                      </c:pt>
                      <c:pt idx="15">
                        <c:v>59.16199519714138</c:v>
                      </c:pt>
                      <c:pt idx="16">
                        <c:v>55.664815266571495</c:v>
                      </c:pt>
                      <c:pt idx="17">
                        <c:v>60.186448001821461</c:v>
                      </c:pt>
                      <c:pt idx="18">
                        <c:v>81.798275843623998</c:v>
                      </c:pt>
                      <c:pt idx="19">
                        <c:v>73.936809394542266</c:v>
                      </c:pt>
                      <c:pt idx="20">
                        <c:v>55.94111683654576</c:v>
                      </c:pt>
                      <c:pt idx="21">
                        <c:v>55.616946247566595</c:v>
                      </c:pt>
                      <c:pt idx="22">
                        <c:v>73.829689003103297</c:v>
                      </c:pt>
                      <c:pt idx="23">
                        <c:v>112.73306208639745</c:v>
                      </c:pt>
                      <c:pt idx="24">
                        <c:v>173.05770311142996</c:v>
                      </c:pt>
                      <c:pt idx="25">
                        <c:v>139.61393977529374</c:v>
                      </c:pt>
                      <c:pt idx="26">
                        <c:v>78.810686416840952</c:v>
                      </c:pt>
                      <c:pt idx="27">
                        <c:v>54.537148872085616</c:v>
                      </c:pt>
                      <c:pt idx="28">
                        <c:v>50.933920370847382</c:v>
                      </c:pt>
                      <c:pt idx="29">
                        <c:v>55.501730795715524</c:v>
                      </c:pt>
                      <c:pt idx="30">
                        <c:v>77.416733415826357</c:v>
                      </c:pt>
                      <c:pt idx="31">
                        <c:v>69.419345142703506</c:v>
                      </c:pt>
                      <c:pt idx="32">
                        <c:v>51.39977155830227</c:v>
                      </c:pt>
                      <c:pt idx="33">
                        <c:v>50.975922285428901</c:v>
                      </c:pt>
                      <c:pt idx="34">
                        <c:v>69.251195826089756</c:v>
                      </c:pt>
                      <c:pt idx="35">
                        <c:v>108.39659596099581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0E3-46FD-A3A4-98D3D8495EC3}"/>
                  </c:ext>
                </c:extLst>
              </c15:ser>
            </c15:filteredLineSeries>
          </c:ext>
        </c:extLst>
      </c:lineChart>
      <c:dateAx>
        <c:axId val="3420842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6016"/>
        <c:crosses val="autoZero"/>
        <c:auto val="1"/>
        <c:lblOffset val="100"/>
        <c:baseTimeUnit val="months"/>
      </c:dateAx>
      <c:valAx>
        <c:axId val="34208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&quot;$&quot;#,##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n-US"/>
          </a:p>
        </c:txPr>
        <c:crossAx val="342084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8626103555237414"/>
          <c:y val="0.1463238432775521"/>
          <c:w val="0.1576259630061809"/>
          <c:h val="8.36709064648958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1019175</xdr:colOff>
      <xdr:row>2</xdr:row>
      <xdr:rowOff>76199</xdr:rowOff>
    </xdr:from>
    <xdr:to>
      <xdr:col>35</xdr:col>
      <xdr:colOff>495300</xdr:colOff>
      <xdr:row>33</xdr:row>
      <xdr:rowOff>28574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3F6D2AD-8B56-400C-82DF-DBB25B98E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38100</xdr:colOff>
      <xdr:row>119</xdr:row>
      <xdr:rowOff>76200</xdr:rowOff>
    </xdr:from>
    <xdr:to>
      <xdr:col>37</xdr:col>
      <xdr:colOff>352425</xdr:colOff>
      <xdr:row>148</xdr:row>
      <xdr:rowOff>19050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94C48A7-6F9F-4756-8416-CC150C403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119063</xdr:colOff>
      <xdr:row>36</xdr:row>
      <xdr:rowOff>90487</xdr:rowOff>
    </xdr:from>
    <xdr:to>
      <xdr:col>38</xdr:col>
      <xdr:colOff>461963</xdr:colOff>
      <xdr:row>70</xdr:row>
      <xdr:rowOff>45244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3E3304A-249D-4107-BB50-A73056A75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73</xdr:row>
      <xdr:rowOff>0</xdr:rowOff>
    </xdr:from>
    <xdr:to>
      <xdr:col>38</xdr:col>
      <xdr:colOff>342900</xdr:colOff>
      <xdr:row>106</xdr:row>
      <xdr:rowOff>88107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92F2F023-840B-46AF-A7CC-312FA9E5B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0.29888</cdr:x>
      <cdr:y>0.01632</cdr:y>
    </cdr:from>
    <cdr:to>
      <cdr:x>0.76214</cdr:x>
      <cdr:y>0.17249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66210E8-25CD-42AB-FE52-89C7C5F99C83}"/>
            </a:ext>
          </a:extLst>
        </cdr:cNvPr>
        <cdr:cNvSpPr txBox="1"/>
      </cdr:nvSpPr>
      <cdr:spPr>
        <a:xfrm xmlns:a="http://schemas.openxmlformats.org/drawingml/2006/main">
          <a:off x="2286000" y="66676"/>
          <a:ext cx="3543300" cy="638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0.25654</cdr:x>
      <cdr:y>0.03263</cdr:y>
    </cdr:from>
    <cdr:to>
      <cdr:x>0.69116</cdr:x>
      <cdr:y>0.16317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F8862D3-F8A9-A84E-56A0-E1E0758980E8}"/>
            </a:ext>
          </a:extLst>
        </cdr:cNvPr>
        <cdr:cNvSpPr txBox="1"/>
      </cdr:nvSpPr>
      <cdr:spPr>
        <a:xfrm xmlns:a="http://schemas.openxmlformats.org/drawingml/2006/main">
          <a:off x="1962149" y="133351"/>
          <a:ext cx="33242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kern="1200"/>
            <a:t>95% AND</a:t>
          </a:r>
          <a:r>
            <a:rPr lang="en-US" sz="1600" kern="1200" baseline="0"/>
            <a:t> 99% UPSIDE AND DOWNSIDE PRICE CASES</a:t>
          </a:r>
          <a:endParaRPr lang="en-US" sz="16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0.12827</cdr:x>
      <cdr:y>0.01274</cdr:y>
    </cdr:from>
    <cdr:to>
      <cdr:x>0.71856</cdr:x>
      <cdr:y>0.08493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5421B-A934-48EA-8B9F-CEAC1CCE23F6}"/>
            </a:ext>
          </a:extLst>
        </cdr:cNvPr>
        <cdr:cNvSpPr txBox="1"/>
      </cdr:nvSpPr>
      <cdr:spPr>
        <a:xfrm xmlns:a="http://schemas.openxmlformats.org/drawingml/2006/main">
          <a:off x="981074" y="57150"/>
          <a:ext cx="4514851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95% and 99% Upside Cases with Current Forward Curve (counterpary downside)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0.12827</cdr:x>
      <cdr:y>0.01274</cdr:y>
    </cdr:from>
    <cdr:to>
      <cdr:x>0.71856</cdr:x>
      <cdr:y>0.08493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5421B-A934-48EA-8B9F-CEAC1CCE23F6}"/>
            </a:ext>
          </a:extLst>
        </cdr:cNvPr>
        <cdr:cNvSpPr txBox="1"/>
      </cdr:nvSpPr>
      <cdr:spPr>
        <a:xfrm xmlns:a="http://schemas.openxmlformats.org/drawingml/2006/main">
          <a:off x="981074" y="57150"/>
          <a:ext cx="4514851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95% and 99% Upside Cases with Current Forward Curve (counterpary downside)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1019175</xdr:colOff>
      <xdr:row>2</xdr:row>
      <xdr:rowOff>76199</xdr:rowOff>
    </xdr:from>
    <xdr:to>
      <xdr:col>35</xdr:col>
      <xdr:colOff>495300</xdr:colOff>
      <xdr:row>33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ACB60-3731-4B49-BA0C-BB390A66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38100</xdr:colOff>
      <xdr:row>119</xdr:row>
      <xdr:rowOff>76200</xdr:rowOff>
    </xdr:from>
    <xdr:to>
      <xdr:col>37</xdr:col>
      <xdr:colOff>352425</xdr:colOff>
      <xdr:row>148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3E4E25D-9587-4728-8109-10A66747B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119063</xdr:colOff>
      <xdr:row>36</xdr:row>
      <xdr:rowOff>90487</xdr:rowOff>
    </xdr:from>
    <xdr:to>
      <xdr:col>38</xdr:col>
      <xdr:colOff>461963</xdr:colOff>
      <xdr:row>70</xdr:row>
      <xdr:rowOff>45244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A221D6F-200D-47E3-819F-B0CD0715E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73</xdr:row>
      <xdr:rowOff>0</xdr:rowOff>
    </xdr:from>
    <xdr:to>
      <xdr:col>38</xdr:col>
      <xdr:colOff>342900</xdr:colOff>
      <xdr:row>106</xdr:row>
      <xdr:rowOff>88107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2AE8C76-1AAD-4DDD-9D63-E04A452EA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0.29888</cdr:x>
      <cdr:y>0.01632</cdr:y>
    </cdr:from>
    <cdr:to>
      <cdr:x>0.76214</cdr:x>
      <cdr:y>0.17249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66210E8-25CD-42AB-FE52-89C7C5F99C83}"/>
            </a:ext>
          </a:extLst>
        </cdr:cNvPr>
        <cdr:cNvSpPr txBox="1"/>
      </cdr:nvSpPr>
      <cdr:spPr>
        <a:xfrm xmlns:a="http://schemas.openxmlformats.org/drawingml/2006/main">
          <a:off x="2286000" y="66676"/>
          <a:ext cx="3543300" cy="638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0.25654</cdr:x>
      <cdr:y>0.03263</cdr:y>
    </cdr:from>
    <cdr:to>
      <cdr:x>0.69116</cdr:x>
      <cdr:y>0.16317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F8862D3-F8A9-A84E-56A0-E1E0758980E8}"/>
            </a:ext>
          </a:extLst>
        </cdr:cNvPr>
        <cdr:cNvSpPr txBox="1"/>
      </cdr:nvSpPr>
      <cdr:spPr>
        <a:xfrm xmlns:a="http://schemas.openxmlformats.org/drawingml/2006/main">
          <a:off x="1962149" y="133351"/>
          <a:ext cx="33242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kern="1200"/>
            <a:t>95% AND</a:t>
          </a:r>
          <a:r>
            <a:rPr lang="en-US" sz="1600" kern="1200" baseline="0"/>
            <a:t> 99% UPSIDE AND DOWNSIDE PRICE CASES</a:t>
          </a:r>
          <a:endParaRPr lang="en-US" sz="1600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0.12827</cdr:x>
      <cdr:y>0.01274</cdr:y>
    </cdr:from>
    <cdr:to>
      <cdr:x>0.71856</cdr:x>
      <cdr:y>0.08493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5421B-A934-48EA-8B9F-CEAC1CCE23F6}"/>
            </a:ext>
          </a:extLst>
        </cdr:cNvPr>
        <cdr:cNvSpPr txBox="1"/>
      </cdr:nvSpPr>
      <cdr:spPr>
        <a:xfrm xmlns:a="http://schemas.openxmlformats.org/drawingml/2006/main">
          <a:off x="981074" y="57150"/>
          <a:ext cx="4514851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95% and 99% Upside Cases with Current Forward Curve (counterpary downside)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0.12827</cdr:x>
      <cdr:y>0.01274</cdr:y>
    </cdr:from>
    <cdr:to>
      <cdr:x>0.71856</cdr:x>
      <cdr:y>0.08493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5421B-A934-48EA-8B9F-CEAC1CCE23F6}"/>
            </a:ext>
          </a:extLst>
        </cdr:cNvPr>
        <cdr:cNvSpPr txBox="1"/>
      </cdr:nvSpPr>
      <cdr:spPr>
        <a:xfrm xmlns:a="http://schemas.openxmlformats.org/drawingml/2006/main">
          <a:off x="981074" y="57150"/>
          <a:ext cx="4514851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95% and 99% Upside Cases with Current Forward Curve (counterpary downside)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1019175</xdr:colOff>
      <xdr:row>2</xdr:row>
      <xdr:rowOff>76199</xdr:rowOff>
    </xdr:from>
    <xdr:to>
      <xdr:col>35</xdr:col>
      <xdr:colOff>495300</xdr:colOff>
      <xdr:row>33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0967C9-2ADD-4A79-95A8-290869DE6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38100</xdr:colOff>
      <xdr:row>119</xdr:row>
      <xdr:rowOff>76200</xdr:rowOff>
    </xdr:from>
    <xdr:to>
      <xdr:col>37</xdr:col>
      <xdr:colOff>352425</xdr:colOff>
      <xdr:row>148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2843BED-56CF-41E0-9584-9CC3A077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119063</xdr:colOff>
      <xdr:row>36</xdr:row>
      <xdr:rowOff>90487</xdr:rowOff>
    </xdr:from>
    <xdr:to>
      <xdr:col>38</xdr:col>
      <xdr:colOff>461963</xdr:colOff>
      <xdr:row>70</xdr:row>
      <xdr:rowOff>45244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10BBF5D-FA60-43A0-80D4-AE8A33F07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73</xdr:row>
      <xdr:rowOff>0</xdr:rowOff>
    </xdr:from>
    <xdr:to>
      <xdr:col>38</xdr:col>
      <xdr:colOff>342900</xdr:colOff>
      <xdr:row>106</xdr:row>
      <xdr:rowOff>88107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2DFDFD3-47B1-4D2A-8EB0-D2C9FDCA0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0.29888</cdr:x>
      <cdr:y>0.01632</cdr:y>
    </cdr:from>
    <cdr:to>
      <cdr:x>0.76214</cdr:x>
      <cdr:y>0.17249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66210E8-25CD-42AB-FE52-89C7C5F99C83}"/>
            </a:ext>
          </a:extLst>
        </cdr:cNvPr>
        <cdr:cNvSpPr txBox="1"/>
      </cdr:nvSpPr>
      <cdr:spPr>
        <a:xfrm xmlns:a="http://schemas.openxmlformats.org/drawingml/2006/main">
          <a:off x="2286000" y="66676"/>
          <a:ext cx="3543300" cy="638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0.25654</cdr:x>
      <cdr:y>0.03263</cdr:y>
    </cdr:from>
    <cdr:to>
      <cdr:x>0.69116</cdr:x>
      <cdr:y>0.16317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F8862D3-F8A9-A84E-56A0-E1E0758980E8}"/>
            </a:ext>
          </a:extLst>
        </cdr:cNvPr>
        <cdr:cNvSpPr txBox="1"/>
      </cdr:nvSpPr>
      <cdr:spPr>
        <a:xfrm xmlns:a="http://schemas.openxmlformats.org/drawingml/2006/main">
          <a:off x="1962149" y="133351"/>
          <a:ext cx="33242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kern="1200"/>
            <a:t>95% AND</a:t>
          </a:r>
          <a:r>
            <a:rPr lang="en-US" sz="1600" kern="1200" baseline="0"/>
            <a:t> 99% UPSIDE AND DOWNSIDE PRICE CASES</a:t>
          </a:r>
          <a:endParaRPr lang="en-US" sz="1600" kern="12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0.12827</cdr:x>
      <cdr:y>0.01274</cdr:y>
    </cdr:from>
    <cdr:to>
      <cdr:x>0.71856</cdr:x>
      <cdr:y>0.08493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5421B-A934-48EA-8B9F-CEAC1CCE23F6}"/>
            </a:ext>
          </a:extLst>
        </cdr:cNvPr>
        <cdr:cNvSpPr txBox="1"/>
      </cdr:nvSpPr>
      <cdr:spPr>
        <a:xfrm xmlns:a="http://schemas.openxmlformats.org/drawingml/2006/main">
          <a:off x="981074" y="57150"/>
          <a:ext cx="4514851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95% and 99% Upside Cases with Current Forward Curve (counterpary downside)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0.12827</cdr:x>
      <cdr:y>0.01274</cdr:y>
    </cdr:from>
    <cdr:to>
      <cdr:x>0.71856</cdr:x>
      <cdr:y>0.08493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5421B-A934-48EA-8B9F-CEAC1CCE23F6}"/>
            </a:ext>
          </a:extLst>
        </cdr:cNvPr>
        <cdr:cNvSpPr txBox="1"/>
      </cdr:nvSpPr>
      <cdr:spPr>
        <a:xfrm xmlns:a="http://schemas.openxmlformats.org/drawingml/2006/main">
          <a:off x="981074" y="57150"/>
          <a:ext cx="4514851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95% and 99% Upside Cases with Current Forward Curve (counterpary downside)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1019175</xdr:colOff>
      <xdr:row>2</xdr:row>
      <xdr:rowOff>76199</xdr:rowOff>
    </xdr:from>
    <xdr:to>
      <xdr:col>35</xdr:col>
      <xdr:colOff>495300</xdr:colOff>
      <xdr:row>33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32C83-C532-4B6B-A701-19AE8C2EF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38100</xdr:colOff>
      <xdr:row>119</xdr:row>
      <xdr:rowOff>76200</xdr:rowOff>
    </xdr:from>
    <xdr:to>
      <xdr:col>37</xdr:col>
      <xdr:colOff>352425</xdr:colOff>
      <xdr:row>148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BF41610-3134-41ED-8FB4-60A62AFB8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119063</xdr:colOff>
      <xdr:row>36</xdr:row>
      <xdr:rowOff>90487</xdr:rowOff>
    </xdr:from>
    <xdr:to>
      <xdr:col>38</xdr:col>
      <xdr:colOff>461963</xdr:colOff>
      <xdr:row>70</xdr:row>
      <xdr:rowOff>45244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5E5CE46-E950-402C-8CAD-4FA6D6E72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73</xdr:row>
      <xdr:rowOff>0</xdr:rowOff>
    </xdr:from>
    <xdr:to>
      <xdr:col>38</xdr:col>
      <xdr:colOff>342900</xdr:colOff>
      <xdr:row>106</xdr:row>
      <xdr:rowOff>88107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BA4790C-FF7D-451E-BF2D-CF7B24794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0.29888</cdr:x>
      <cdr:y>0.01632</cdr:y>
    </cdr:from>
    <cdr:to>
      <cdr:x>0.76214</cdr:x>
      <cdr:y>0.17249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66210E8-25CD-42AB-FE52-89C7C5F99C83}"/>
            </a:ext>
          </a:extLst>
        </cdr:cNvPr>
        <cdr:cNvSpPr txBox="1"/>
      </cdr:nvSpPr>
      <cdr:spPr>
        <a:xfrm xmlns:a="http://schemas.openxmlformats.org/drawingml/2006/main">
          <a:off x="2286000" y="66676"/>
          <a:ext cx="3543300" cy="638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0.25654</cdr:x>
      <cdr:y>0.03263</cdr:y>
    </cdr:from>
    <cdr:to>
      <cdr:x>0.69116</cdr:x>
      <cdr:y>0.16317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F8862D3-F8A9-A84E-56A0-E1E0758980E8}"/>
            </a:ext>
          </a:extLst>
        </cdr:cNvPr>
        <cdr:cNvSpPr txBox="1"/>
      </cdr:nvSpPr>
      <cdr:spPr>
        <a:xfrm xmlns:a="http://schemas.openxmlformats.org/drawingml/2006/main">
          <a:off x="1962149" y="133351"/>
          <a:ext cx="33242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kern="1200"/>
            <a:t>95% AND</a:t>
          </a:r>
          <a:r>
            <a:rPr lang="en-US" sz="1600" kern="1200" baseline="0"/>
            <a:t> 99% UPSIDE AND DOWNSIDE PRICE CASES</a:t>
          </a:r>
          <a:endParaRPr lang="en-US" sz="1600" kern="12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0.12827</cdr:x>
      <cdr:y>0.01274</cdr:y>
    </cdr:from>
    <cdr:to>
      <cdr:x>0.71856</cdr:x>
      <cdr:y>0.08493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5421B-A934-48EA-8B9F-CEAC1CCE23F6}"/>
            </a:ext>
          </a:extLst>
        </cdr:cNvPr>
        <cdr:cNvSpPr txBox="1"/>
      </cdr:nvSpPr>
      <cdr:spPr>
        <a:xfrm xmlns:a="http://schemas.openxmlformats.org/drawingml/2006/main">
          <a:off x="981074" y="57150"/>
          <a:ext cx="4514851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95% and 99% Upside Cases with Current Forward Curve (counterpary downside)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0.12827</cdr:x>
      <cdr:y>0.01274</cdr:y>
    </cdr:from>
    <cdr:to>
      <cdr:x>0.71856</cdr:x>
      <cdr:y>0.08493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A5421B-A934-48EA-8B9F-CEAC1CCE23F6}"/>
            </a:ext>
          </a:extLst>
        </cdr:cNvPr>
        <cdr:cNvSpPr txBox="1"/>
      </cdr:nvSpPr>
      <cdr:spPr>
        <a:xfrm xmlns:a="http://schemas.openxmlformats.org/drawingml/2006/main">
          <a:off x="981074" y="57150"/>
          <a:ext cx="4514851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/>
            <a:t>95% and 99% Upside Cases with Current Forward Curve (counterpary downside)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llen\AppData\Local\Microsoft\Windows\Temporary%20Internet%20Files\Content.Outlook\OHR60B67\ngg\POWER\Value%20Trading\F%20Allen\brownian%20mo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asset"/>
      <sheetName val="2 assets"/>
      <sheetName val="3 assets"/>
      <sheetName val="brownian motion"/>
    </sheetNames>
    <sheetDataSet>
      <sheetData sheetId="0"/>
      <sheetData sheetId="1">
        <row r="1">
          <cell r="B1">
            <v>1</v>
          </cell>
        </row>
        <row r="2">
          <cell r="B2">
            <v>1</v>
          </cell>
          <cell r="E2">
            <v>1</v>
          </cell>
        </row>
        <row r="3">
          <cell r="B3">
            <v>0.99</v>
          </cell>
          <cell r="E3">
            <v>0.99</v>
          </cell>
          <cell r="F3">
            <v>0.14106735979665894</v>
          </cell>
        </row>
      </sheetData>
      <sheetData sheetId="2">
        <row r="2">
          <cell r="B2">
            <v>4</v>
          </cell>
          <cell r="H2">
            <v>4</v>
          </cell>
        </row>
        <row r="3">
          <cell r="B3">
            <v>4</v>
          </cell>
          <cell r="H3">
            <v>2</v>
          </cell>
          <cell r="I3">
            <v>3.4641016151377544</v>
          </cell>
        </row>
        <row r="4">
          <cell r="B4">
            <v>4</v>
          </cell>
          <cell r="H4">
            <v>2</v>
          </cell>
          <cell r="I4">
            <v>1.1547005383792517</v>
          </cell>
          <cell r="J4">
            <v>3.2659863237109041</v>
          </cell>
        </row>
        <row r="5">
          <cell r="B5">
            <v>0.5</v>
          </cell>
        </row>
        <row r="6">
          <cell r="B6">
            <v>0.5</v>
          </cell>
        </row>
        <row r="7">
          <cell r="B7">
            <v>0.5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ranklin Allen" id="{5F24340E-9428-4784-9869-828BBF3CB6C6}" userId="S::Franklin-Allen@smartestenergy.com::6a33865b-07c7-45f7-a246-ba441289b24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9" dT="2026-01-28T15:54:07.53" personId="{5F24340E-9428-4784-9869-828BBF3CB6C6}" id="{DDBB25FF-9612-41E6-B9FC-111A3C3DC039}">
    <text>Snapshot on 2027-12-01, highest pfe date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6391-949A-4232-B62E-D7C47A8FDF88}">
  <dimension ref="A1:X90"/>
  <sheetViews>
    <sheetView topLeftCell="B1" zoomScaleNormal="100" workbookViewId="0">
      <selection activeCell="I29" sqref="I29"/>
    </sheetView>
  </sheetViews>
  <sheetFormatPr defaultRowHeight="10.5" x14ac:dyDescent="0.15"/>
  <cols>
    <col min="1" max="1" width="12.33203125" style="1" bestFit="1" customWidth="1"/>
    <col min="2" max="2" width="7.1640625" style="1" bestFit="1" customWidth="1"/>
    <col min="3" max="3" width="7.1640625" style="1" customWidth="1"/>
    <col min="4" max="4" width="9.1640625" style="1" bestFit="1" customWidth="1"/>
    <col min="5" max="5" width="5.83203125" style="1" bestFit="1" customWidth="1"/>
    <col min="6" max="6" width="12.1640625" style="1" bestFit="1" customWidth="1"/>
    <col min="7" max="7" width="9.83203125" style="1" bestFit="1" customWidth="1"/>
    <col min="8" max="8" width="10.5" style="1" bestFit="1" customWidth="1"/>
    <col min="9" max="9" width="14.5" style="1" customWidth="1"/>
    <col min="10" max="10" width="11.33203125" style="4" bestFit="1" customWidth="1"/>
    <col min="11" max="11" width="11.33203125" style="4" customWidth="1"/>
    <col min="12" max="12" width="11.6640625" style="4" customWidth="1"/>
    <col min="13" max="13" width="13.5" style="4" bestFit="1" customWidth="1"/>
    <col min="14" max="14" width="16.5" style="4" bestFit="1" customWidth="1"/>
    <col min="15" max="15" width="19.33203125" style="1" bestFit="1" customWidth="1"/>
    <col min="16" max="16" width="19.83203125" style="1" bestFit="1" customWidth="1"/>
    <col min="17" max="17" width="23.1640625" style="1" bestFit="1" customWidth="1"/>
    <col min="18" max="18" width="22" style="1" bestFit="1" customWidth="1"/>
    <col min="19" max="20" width="22" style="1" customWidth="1"/>
    <col min="21" max="21" width="20.33203125" style="1" bestFit="1" customWidth="1"/>
    <col min="22" max="22" width="23.1640625" style="1" bestFit="1" customWidth="1"/>
    <col min="23" max="23" width="20.33203125" style="1" customWidth="1"/>
    <col min="24" max="24" width="13.6640625" style="1" bestFit="1" customWidth="1"/>
    <col min="25" max="25" width="9.33203125" style="1"/>
    <col min="26" max="26" width="15.6640625" style="1" bestFit="1" customWidth="1"/>
    <col min="27" max="37" width="9.33203125" style="1"/>
    <col min="38" max="38" width="9.5" style="1" bestFit="1" customWidth="1"/>
    <col min="39" max="39" width="14.5" style="1" bestFit="1" customWidth="1"/>
    <col min="40" max="41" width="11.33203125" style="1" bestFit="1" customWidth="1"/>
    <col min="42" max="43" width="11.6640625" style="1" bestFit="1" customWidth="1"/>
    <col min="44" max="16384" width="9.33203125" style="1"/>
  </cols>
  <sheetData>
    <row r="1" spans="1:24" x14ac:dyDescent="0.15">
      <c r="C1" s="2"/>
      <c r="D1" s="22" t="s">
        <v>0</v>
      </c>
      <c r="E1" s="22"/>
      <c r="F1" s="23" t="s">
        <v>16</v>
      </c>
      <c r="G1" s="23" t="s">
        <v>15</v>
      </c>
      <c r="O1" s="5"/>
      <c r="P1" s="5"/>
      <c r="Q1" s="5"/>
      <c r="U1" s="1" t="s">
        <v>18</v>
      </c>
      <c r="V1" s="1" t="s">
        <v>19</v>
      </c>
    </row>
    <row r="2" spans="1:24" x14ac:dyDescent="0.15">
      <c r="C2" s="6"/>
      <c r="D2" s="22">
        <v>0</v>
      </c>
      <c r="E2" s="22"/>
      <c r="F2" s="22">
        <v>2.33</v>
      </c>
      <c r="G2" s="24">
        <v>1.645</v>
      </c>
      <c r="O2" s="7"/>
      <c r="U2" s="8">
        <f>SUM(U6:U41)</f>
        <v>73396892.744324684</v>
      </c>
      <c r="V2" s="8">
        <f>SUM(V6:V41)</f>
        <v>-49984432.56176348</v>
      </c>
    </row>
    <row r="3" spans="1:24" x14ac:dyDescent="0.15">
      <c r="G3" s="2"/>
      <c r="J3" s="3"/>
    </row>
    <row r="5" spans="1:24" x14ac:dyDescent="0.15">
      <c r="A5" s="1" t="s">
        <v>21</v>
      </c>
      <c r="B5" s="9"/>
      <c r="C5" s="9" t="s">
        <v>1</v>
      </c>
      <c r="D5" s="9"/>
      <c r="E5" s="9" t="s">
        <v>4</v>
      </c>
      <c r="F5" s="9" t="s">
        <v>0</v>
      </c>
      <c r="G5" s="9"/>
      <c r="H5" s="10" t="s">
        <v>2</v>
      </c>
      <c r="I5" s="10" t="s">
        <v>3</v>
      </c>
      <c r="J5" s="11" t="s">
        <v>5</v>
      </c>
      <c r="K5" s="11" t="s">
        <v>6</v>
      </c>
      <c r="L5" s="11" t="s">
        <v>7</v>
      </c>
      <c r="M5" s="10" t="s">
        <v>8</v>
      </c>
      <c r="N5" s="11" t="s">
        <v>9</v>
      </c>
      <c r="O5" s="11" t="s">
        <v>20</v>
      </c>
      <c r="P5" s="11" t="s">
        <v>10</v>
      </c>
      <c r="Q5" s="11" t="s">
        <v>22</v>
      </c>
      <c r="R5" s="11" t="s">
        <v>11</v>
      </c>
      <c r="S5" s="11" t="s">
        <v>12</v>
      </c>
      <c r="T5" s="11" t="s">
        <v>14</v>
      </c>
      <c r="U5" s="20" t="s">
        <v>13</v>
      </c>
      <c r="V5" s="20" t="s">
        <v>17</v>
      </c>
      <c r="W5" s="12"/>
      <c r="X5" s="12"/>
    </row>
    <row r="6" spans="1:24" x14ac:dyDescent="0.15">
      <c r="A6">
        <f>DAY(EOMONTH(H6,0))</f>
        <v>31</v>
      </c>
      <c r="C6" s="6"/>
      <c r="D6" s="13"/>
      <c r="E6" s="29">
        <f>G6/12</f>
        <v>8.3333333333333329E-2</v>
      </c>
      <c r="F6" s="28">
        <f t="shared" ref="F6:F69" si="0">$D$2</f>
        <v>0</v>
      </c>
      <c r="G6" s="1">
        <v>1</v>
      </c>
      <c r="H6" s="21">
        <v>46023</v>
      </c>
      <c r="I6" s="16"/>
      <c r="J6" s="25">
        <f>$I6*EXP(($F6-0.5*$C6^2)*$E6-$C6*SQRT($E6)*$F$2)</f>
        <v>0</v>
      </c>
      <c r="K6" s="25">
        <f>$I6*EXP(($F6-0.5*$C6^2)*$E6-$C6*SQRT($E6)*$G$2)</f>
        <v>0</v>
      </c>
      <c r="L6" s="25">
        <f>$I6*EXP(($F6-0.5*$C6^2)*$E6+$C6*SQRT($E6)*$G$2)</f>
        <v>0</v>
      </c>
      <c r="M6" s="25">
        <f>$I6*EXP(($F6-0.5*$C6^2)*$E6+$C6*SQRT($E6)*$F$2)</f>
        <v>0</v>
      </c>
      <c r="N6" s="25">
        <f>M6-I6</f>
        <v>0</v>
      </c>
      <c r="O6" s="25">
        <f>J6-I6</f>
        <v>0</v>
      </c>
      <c r="P6" s="25">
        <f>N6*T6</f>
        <v>0</v>
      </c>
      <c r="Q6" s="25">
        <f>O6*T6</f>
        <v>0</v>
      </c>
      <c r="R6" s="25">
        <f t="shared" ref="R6:R69" si="1">L6-I6</f>
        <v>0</v>
      </c>
      <c r="S6" s="25">
        <f t="shared" ref="S6:S37" si="2">K6-I6</f>
        <v>0</v>
      </c>
      <c r="T6" s="16"/>
      <c r="U6" s="26">
        <f t="shared" ref="U6:U41" si="3">R6*T6</f>
        <v>0</v>
      </c>
      <c r="V6" s="26">
        <f t="shared" ref="V6:V41" si="4">S6*T6</f>
        <v>0</v>
      </c>
      <c r="W6" s="17"/>
      <c r="X6" s="18"/>
    </row>
    <row r="7" spans="1:24" x14ac:dyDescent="0.15">
      <c r="A7">
        <f t="shared" ref="A7:A70" si="5">DAY(EOMONTH(H7,0))</f>
        <v>28</v>
      </c>
      <c r="B7" s="19"/>
      <c r="C7" s="6"/>
      <c r="D7" s="13"/>
      <c r="E7" s="29">
        <f t="shared" ref="E7:E41" si="6">G7/12</f>
        <v>0.16666666666666666</v>
      </c>
      <c r="F7" s="28">
        <f t="shared" si="0"/>
        <v>0</v>
      </c>
      <c r="G7" s="1">
        <v>2</v>
      </c>
      <c r="H7" s="21">
        <v>46054</v>
      </c>
      <c r="I7" s="16"/>
      <c r="J7" s="25">
        <f>$I7*EXP(($F7-0.5*$C7^2)*$E7-$C7*SQRT($E7)*$F$2)</f>
        <v>0</v>
      </c>
      <c r="K7" s="25">
        <f t="shared" ref="K7:K70" si="7">$I7*EXP(($F7-0.5*$C7^2)*$E7-$C7*SQRT($E7)*$G$2)</f>
        <v>0</v>
      </c>
      <c r="L7" s="25">
        <f t="shared" ref="L7:L70" si="8">$I7*EXP(($F7-0.5*$C7^2)*$E7+$C7*SQRT($E7)*$G$2)</f>
        <v>0</v>
      </c>
      <c r="M7" s="25">
        <f t="shared" ref="M7:M41" si="9">$I7*EXP(($F7-0.5*$C7^2)*$E7+$C7*SQRT($E7)*$F$2)</f>
        <v>0</v>
      </c>
      <c r="N7" s="25">
        <f t="shared" ref="N7:N70" si="10">M7-I7</f>
        <v>0</v>
      </c>
      <c r="O7" s="25">
        <f t="shared" ref="O7:O41" si="11">J7-I7</f>
        <v>0</v>
      </c>
      <c r="P7" s="25">
        <f t="shared" ref="P7:P70" si="12">N7*T7</f>
        <v>0</v>
      </c>
      <c r="Q7" s="25">
        <f t="shared" ref="Q7:Q70" si="13">O7*T7</f>
        <v>0</v>
      </c>
      <c r="R7" s="25">
        <f t="shared" si="1"/>
        <v>0</v>
      </c>
      <c r="S7" s="25">
        <f t="shared" si="2"/>
        <v>0</v>
      </c>
      <c r="T7" s="16"/>
      <c r="U7" s="26">
        <f t="shared" si="3"/>
        <v>0</v>
      </c>
      <c r="V7" s="26">
        <f t="shared" si="4"/>
        <v>0</v>
      </c>
      <c r="W7" s="17"/>
      <c r="X7" s="18"/>
    </row>
    <row r="8" spans="1:24" x14ac:dyDescent="0.15">
      <c r="A8">
        <f t="shared" si="5"/>
        <v>31</v>
      </c>
      <c r="B8" s="19"/>
      <c r="C8" s="6"/>
      <c r="D8" s="13"/>
      <c r="E8" s="29">
        <f t="shared" si="6"/>
        <v>0.25</v>
      </c>
      <c r="F8" s="28">
        <f t="shared" si="0"/>
        <v>0</v>
      </c>
      <c r="G8" s="1">
        <v>3</v>
      </c>
      <c r="H8" s="21">
        <v>46082</v>
      </c>
      <c r="I8" s="16"/>
      <c r="J8" s="25">
        <f t="shared" ref="J8:J41" si="14">$I8*EXP(($F8-0.5*$C8^2)*$E8-$C8*SQRT($E8)*$F$2)</f>
        <v>0</v>
      </c>
      <c r="K8" s="25">
        <f t="shared" si="7"/>
        <v>0</v>
      </c>
      <c r="L8" s="25">
        <f t="shared" si="8"/>
        <v>0</v>
      </c>
      <c r="M8" s="25">
        <f t="shared" si="9"/>
        <v>0</v>
      </c>
      <c r="N8" s="25">
        <f t="shared" si="10"/>
        <v>0</v>
      </c>
      <c r="O8" s="25">
        <f t="shared" si="11"/>
        <v>0</v>
      </c>
      <c r="P8" s="25">
        <f t="shared" si="12"/>
        <v>0</v>
      </c>
      <c r="Q8" s="25">
        <f t="shared" si="13"/>
        <v>0</v>
      </c>
      <c r="R8" s="25">
        <f t="shared" si="1"/>
        <v>0</v>
      </c>
      <c r="S8" s="25">
        <f t="shared" si="2"/>
        <v>0</v>
      </c>
      <c r="T8" s="16"/>
      <c r="U8" s="26">
        <f t="shared" si="3"/>
        <v>0</v>
      </c>
      <c r="V8" s="26">
        <f t="shared" si="4"/>
        <v>0</v>
      </c>
      <c r="W8" s="17"/>
      <c r="X8" s="18"/>
    </row>
    <row r="9" spans="1:24" x14ac:dyDescent="0.15">
      <c r="A9">
        <f t="shared" si="5"/>
        <v>30</v>
      </c>
      <c r="B9" s="19"/>
      <c r="C9" s="6">
        <v>0.46886216139226999</v>
      </c>
      <c r="D9" s="13"/>
      <c r="E9" s="29">
        <f t="shared" si="6"/>
        <v>0.33333333333333331</v>
      </c>
      <c r="F9" s="28">
        <f t="shared" si="0"/>
        <v>0</v>
      </c>
      <c r="G9" s="1">
        <v>4</v>
      </c>
      <c r="H9" s="21">
        <v>46113</v>
      </c>
      <c r="I9" s="16">
        <v>52.75</v>
      </c>
      <c r="J9" s="25">
        <f t="shared" si="14"/>
        <v>27.063867122788313</v>
      </c>
      <c r="K9" s="25">
        <f t="shared" si="7"/>
        <v>32.577681679607508</v>
      </c>
      <c r="L9" s="25">
        <f t="shared" si="8"/>
        <v>79.378127635571545</v>
      </c>
      <c r="M9" s="25">
        <f t="shared" si="9"/>
        <v>95.550106076950087</v>
      </c>
      <c r="N9" s="25">
        <f t="shared" si="10"/>
        <v>42.800106076950087</v>
      </c>
      <c r="O9" s="25">
        <f t="shared" si="11"/>
        <v>-25.686132877211687</v>
      </c>
      <c r="P9" s="25">
        <f t="shared" si="12"/>
        <v>1586428.731848232</v>
      </c>
      <c r="Q9" s="25">
        <f t="shared" si="13"/>
        <v>-952082.20122672839</v>
      </c>
      <c r="R9" s="25">
        <f t="shared" si="1"/>
        <v>26.628127635571545</v>
      </c>
      <c r="S9" s="25">
        <f t="shared" si="2"/>
        <v>-20.172318320392492</v>
      </c>
      <c r="T9" s="35">
        <v>37066</v>
      </c>
      <c r="U9" s="26">
        <f t="shared" si="3"/>
        <v>986998.17894009489</v>
      </c>
      <c r="V9" s="26">
        <f t="shared" si="4"/>
        <v>-747707.15086366807</v>
      </c>
      <c r="W9" s="17"/>
      <c r="X9" s="18"/>
    </row>
    <row r="10" spans="1:24" x14ac:dyDescent="0.15">
      <c r="A10">
        <f t="shared" si="5"/>
        <v>31</v>
      </c>
      <c r="B10" s="19"/>
      <c r="C10" s="6">
        <v>0.41316346682126198</v>
      </c>
      <c r="D10" s="13"/>
      <c r="E10" s="29">
        <f t="shared" si="6"/>
        <v>0.41666666666666669</v>
      </c>
      <c r="F10" s="28">
        <f t="shared" si="0"/>
        <v>0</v>
      </c>
      <c r="G10" s="1">
        <v>5</v>
      </c>
      <c r="H10" s="21">
        <v>46143</v>
      </c>
      <c r="I10" s="16">
        <v>48</v>
      </c>
      <c r="J10" s="25">
        <f t="shared" si="14"/>
        <v>24.884280218020891</v>
      </c>
      <c r="K10" s="25">
        <f t="shared" si="7"/>
        <v>29.872040997150684</v>
      </c>
      <c r="L10" s="25">
        <f t="shared" si="8"/>
        <v>71.833603002114614</v>
      </c>
      <c r="M10" s="25">
        <f t="shared" si="9"/>
        <v>86.231802368880267</v>
      </c>
      <c r="N10" s="25">
        <f t="shared" si="10"/>
        <v>38.231802368880267</v>
      </c>
      <c r="O10" s="25">
        <f t="shared" si="11"/>
        <v>-23.115719781979109</v>
      </c>
      <c r="P10" s="25">
        <f t="shared" si="12"/>
        <v>1288258.8126217895</v>
      </c>
      <c r="Q10" s="25">
        <f t="shared" si="13"/>
        <v>-778907.29377356812</v>
      </c>
      <c r="R10" s="25">
        <f t="shared" si="1"/>
        <v>23.833603002114614</v>
      </c>
      <c r="S10" s="25">
        <f t="shared" si="2"/>
        <v>-18.127959002849316</v>
      </c>
      <c r="T10" s="35">
        <v>33696</v>
      </c>
      <c r="U10" s="26">
        <f t="shared" si="3"/>
        <v>803097.0867592541</v>
      </c>
      <c r="V10" s="26">
        <f t="shared" si="4"/>
        <v>-610839.70656001056</v>
      </c>
      <c r="W10" s="17"/>
      <c r="X10" s="18"/>
    </row>
    <row r="11" spans="1:24" x14ac:dyDescent="0.15">
      <c r="A11">
        <f t="shared" si="5"/>
        <v>30</v>
      </c>
      <c r="B11" s="19"/>
      <c r="C11" s="6">
        <v>0.33466600718025602</v>
      </c>
      <c r="D11" s="13"/>
      <c r="E11" s="29">
        <f t="shared" si="6"/>
        <v>0.5</v>
      </c>
      <c r="F11" s="28">
        <f t="shared" si="0"/>
        <v>0</v>
      </c>
      <c r="G11" s="1">
        <v>6</v>
      </c>
      <c r="H11" s="21">
        <v>46174</v>
      </c>
      <c r="I11" s="16">
        <v>63</v>
      </c>
      <c r="J11" s="25">
        <f t="shared" si="14"/>
        <v>35.295393760550901</v>
      </c>
      <c r="K11" s="25">
        <f t="shared" si="7"/>
        <v>41.506665142547917</v>
      </c>
      <c r="L11" s="25">
        <f t="shared" si="8"/>
        <v>90.415414244476793</v>
      </c>
      <c r="M11" s="25">
        <f t="shared" si="9"/>
        <v>106.32668807238943</v>
      </c>
      <c r="N11" s="25">
        <f t="shared" si="10"/>
        <v>43.32668807238943</v>
      </c>
      <c r="O11" s="25">
        <f t="shared" si="11"/>
        <v>-27.704606239449099</v>
      </c>
      <c r="P11" s="25">
        <f t="shared" si="12"/>
        <v>2141248.2512255581</v>
      </c>
      <c r="Q11" s="25">
        <f t="shared" si="13"/>
        <v>-1369189.3449598139</v>
      </c>
      <c r="R11" s="25">
        <f t="shared" si="1"/>
        <v>27.415414244476793</v>
      </c>
      <c r="S11" s="25">
        <f t="shared" si="2"/>
        <v>-21.493334857452083</v>
      </c>
      <c r="T11" s="35">
        <v>49421</v>
      </c>
      <c r="U11" s="26">
        <f t="shared" si="3"/>
        <v>1354897.1873762875</v>
      </c>
      <c r="V11" s="26">
        <f t="shared" si="4"/>
        <v>-1062222.1019901393</v>
      </c>
      <c r="W11" s="17"/>
      <c r="X11" s="18"/>
    </row>
    <row r="12" spans="1:24" x14ac:dyDescent="0.15">
      <c r="A12">
        <f t="shared" si="5"/>
        <v>31</v>
      </c>
      <c r="B12" s="19"/>
      <c r="C12" s="6">
        <v>0.248254099870897</v>
      </c>
      <c r="D12" s="13"/>
      <c r="E12" s="29">
        <f t="shared" si="6"/>
        <v>0.58333333333333337</v>
      </c>
      <c r="F12" s="28">
        <f t="shared" si="0"/>
        <v>0</v>
      </c>
      <c r="G12" s="1">
        <v>7</v>
      </c>
      <c r="H12" s="21">
        <v>46204</v>
      </c>
      <c r="I12" s="16">
        <v>94</v>
      </c>
      <c r="J12" s="25">
        <f t="shared" si="14"/>
        <v>59.354892914027204</v>
      </c>
      <c r="K12" s="25">
        <f t="shared" si="7"/>
        <v>67.586988845716192</v>
      </c>
      <c r="L12" s="25">
        <f t="shared" si="8"/>
        <v>126.11865651083751</v>
      </c>
      <c r="M12" s="25">
        <f t="shared" si="9"/>
        <v>143.61040534908005</v>
      </c>
      <c r="N12" s="25">
        <f t="shared" si="10"/>
        <v>49.610405349080054</v>
      </c>
      <c r="O12" s="25">
        <f t="shared" si="11"/>
        <v>-34.645107085972796</v>
      </c>
      <c r="P12" s="25">
        <f t="shared" si="12"/>
        <v>2563220.8131709192</v>
      </c>
      <c r="Q12" s="25">
        <f t="shared" si="13"/>
        <v>-1790008.7478109566</v>
      </c>
      <c r="R12" s="25">
        <f t="shared" si="1"/>
        <v>32.118656510837511</v>
      </c>
      <c r="S12" s="25">
        <f t="shared" si="2"/>
        <v>-26.413011154283808</v>
      </c>
      <c r="T12" s="35">
        <v>51667</v>
      </c>
      <c r="U12" s="26">
        <f t="shared" si="3"/>
        <v>1659474.6259454417</v>
      </c>
      <c r="V12" s="26">
        <f t="shared" si="4"/>
        <v>-1364681.0473083814</v>
      </c>
      <c r="W12" s="17"/>
      <c r="X12" s="18"/>
    </row>
    <row r="13" spans="1:24" x14ac:dyDescent="0.15">
      <c r="A13">
        <f t="shared" si="5"/>
        <v>31</v>
      </c>
      <c r="B13" s="19"/>
      <c r="C13" s="6">
        <v>0.31009021745260401</v>
      </c>
      <c r="D13" s="13"/>
      <c r="E13" s="29">
        <f t="shared" si="6"/>
        <v>0.66666666666666663</v>
      </c>
      <c r="F13" s="28">
        <f t="shared" si="0"/>
        <v>0</v>
      </c>
      <c r="G13" s="1">
        <v>8</v>
      </c>
      <c r="H13" s="21">
        <v>46235</v>
      </c>
      <c r="I13" s="16">
        <v>75</v>
      </c>
      <c r="J13" s="25">
        <f t="shared" si="14"/>
        <v>40.266063568731241</v>
      </c>
      <c r="K13" s="25">
        <f t="shared" si="7"/>
        <v>47.891715084807068</v>
      </c>
      <c r="L13" s="25">
        <f t="shared" si="8"/>
        <v>110.15954657805723</v>
      </c>
      <c r="M13" s="25">
        <f t="shared" si="9"/>
        <v>131.0217376869374</v>
      </c>
      <c r="N13" s="25">
        <f t="shared" si="10"/>
        <v>56.021737686937399</v>
      </c>
      <c r="O13" s="25">
        <f t="shared" si="11"/>
        <v>-34.733936431268759</v>
      </c>
      <c r="P13" s="25">
        <f t="shared" si="12"/>
        <v>2642769.4536435851</v>
      </c>
      <c r="Q13" s="25">
        <f t="shared" si="13"/>
        <v>-1638538.7172086725</v>
      </c>
      <c r="R13" s="25">
        <f t="shared" si="1"/>
        <v>35.159546578057231</v>
      </c>
      <c r="S13" s="25">
        <f t="shared" si="2"/>
        <v>-27.108284915192932</v>
      </c>
      <c r="T13" s="35">
        <v>47174</v>
      </c>
      <c r="U13" s="26">
        <f t="shared" si="3"/>
        <v>1658616.4502732719</v>
      </c>
      <c r="V13" s="26">
        <f t="shared" si="4"/>
        <v>-1278806.2325893114</v>
      </c>
      <c r="W13" s="17"/>
      <c r="X13" s="18"/>
    </row>
    <row r="14" spans="1:24" x14ac:dyDescent="0.15">
      <c r="A14">
        <f t="shared" si="5"/>
        <v>30</v>
      </c>
      <c r="B14" s="19"/>
      <c r="C14" s="6">
        <v>0.32440751769279402</v>
      </c>
      <c r="D14" s="13"/>
      <c r="E14" s="29">
        <f t="shared" si="6"/>
        <v>0.75</v>
      </c>
      <c r="F14" s="28">
        <f t="shared" si="0"/>
        <v>0</v>
      </c>
      <c r="G14" s="1">
        <v>9</v>
      </c>
      <c r="H14" s="21">
        <v>46266</v>
      </c>
      <c r="I14" s="16">
        <v>52</v>
      </c>
      <c r="J14" s="25">
        <f t="shared" si="14"/>
        <v>25.97608810317233</v>
      </c>
      <c r="K14" s="25">
        <f t="shared" si="7"/>
        <v>31.488545830860613</v>
      </c>
      <c r="L14" s="25">
        <f t="shared" si="8"/>
        <v>79.355154485651838</v>
      </c>
      <c r="M14" s="25">
        <f t="shared" si="9"/>
        <v>96.195331991937195</v>
      </c>
      <c r="N14" s="25">
        <f t="shared" si="10"/>
        <v>44.195331991937195</v>
      </c>
      <c r="O14" s="25">
        <f t="shared" si="11"/>
        <v>-26.02391189682767</v>
      </c>
      <c r="P14" s="25">
        <f t="shared" si="12"/>
        <v>1563675.0412067298</v>
      </c>
      <c r="Q14" s="25">
        <f t="shared" si="13"/>
        <v>-920752.02682165976</v>
      </c>
      <c r="R14" s="25">
        <f t="shared" si="1"/>
        <v>27.355154485651838</v>
      </c>
      <c r="S14" s="25">
        <f t="shared" si="2"/>
        <v>-20.511454169139387</v>
      </c>
      <c r="T14" s="35">
        <v>35381</v>
      </c>
      <c r="U14" s="26">
        <f t="shared" si="3"/>
        <v>967852.72085684771</v>
      </c>
      <c r="V14" s="26">
        <f t="shared" si="4"/>
        <v>-725715.75995832065</v>
      </c>
      <c r="W14" s="17"/>
      <c r="X14" s="18"/>
    </row>
    <row r="15" spans="1:24" x14ac:dyDescent="0.15">
      <c r="A15">
        <f t="shared" si="5"/>
        <v>31</v>
      </c>
      <c r="B15" s="19"/>
      <c r="C15" s="6">
        <v>0.31907349055954098</v>
      </c>
      <c r="D15" s="13"/>
      <c r="E15" s="29">
        <f t="shared" si="6"/>
        <v>0.83333333333333337</v>
      </c>
      <c r="F15" s="28">
        <f t="shared" si="0"/>
        <v>0</v>
      </c>
      <c r="G15" s="1">
        <v>10</v>
      </c>
      <c r="H15" s="21">
        <v>46296</v>
      </c>
      <c r="I15" s="16">
        <v>50</v>
      </c>
      <c r="J15" s="25">
        <f t="shared" si="14"/>
        <v>24.311200281993571</v>
      </c>
      <c r="K15" s="25">
        <f t="shared" si="7"/>
        <v>29.679575245637025</v>
      </c>
      <c r="L15" s="25">
        <f t="shared" si="8"/>
        <v>77.381442701885177</v>
      </c>
      <c r="M15" s="25">
        <f t="shared" si="9"/>
        <v>94.468735588822241</v>
      </c>
      <c r="N15" s="25">
        <f t="shared" si="10"/>
        <v>44.468735588822241</v>
      </c>
      <c r="O15" s="25">
        <f t="shared" si="11"/>
        <v>-25.688799718006429</v>
      </c>
      <c r="P15" s="25">
        <f t="shared" si="12"/>
        <v>1648278.1533352851</v>
      </c>
      <c r="Q15" s="25">
        <f t="shared" si="13"/>
        <v>-952181.05034762633</v>
      </c>
      <c r="R15" s="25">
        <f t="shared" si="1"/>
        <v>27.381442701885177</v>
      </c>
      <c r="S15" s="25">
        <f t="shared" si="2"/>
        <v>-20.320424754362975</v>
      </c>
      <c r="T15" s="35">
        <v>37066</v>
      </c>
      <c r="U15" s="26">
        <f t="shared" si="3"/>
        <v>1014920.555188076</v>
      </c>
      <c r="V15" s="26">
        <f t="shared" si="4"/>
        <v>-753196.86394521804</v>
      </c>
      <c r="W15" s="17"/>
      <c r="X15" s="18"/>
    </row>
    <row r="16" spans="1:24" x14ac:dyDescent="0.15">
      <c r="A16">
        <f t="shared" si="5"/>
        <v>30</v>
      </c>
      <c r="B16" s="19"/>
      <c r="C16" s="6">
        <v>0.30034073913102899</v>
      </c>
      <c r="D16" s="13"/>
      <c r="E16" s="29">
        <f t="shared" si="6"/>
        <v>0.91666666666666663</v>
      </c>
      <c r="F16" s="28">
        <f t="shared" si="0"/>
        <v>0</v>
      </c>
      <c r="G16" s="1">
        <v>11</v>
      </c>
      <c r="H16" s="21">
        <v>46327</v>
      </c>
      <c r="I16" s="16">
        <v>71.650000000000006</v>
      </c>
      <c r="J16" s="25">
        <f t="shared" si="14"/>
        <v>35.17894417806513</v>
      </c>
      <c r="K16" s="25">
        <f t="shared" si="7"/>
        <v>42.837867540127291</v>
      </c>
      <c r="L16" s="25">
        <f t="shared" si="8"/>
        <v>110.33005006705096</v>
      </c>
      <c r="M16" s="25">
        <f t="shared" si="9"/>
        <v>134.3503672692627</v>
      </c>
      <c r="N16" s="25">
        <f t="shared" si="10"/>
        <v>62.700367269262699</v>
      </c>
      <c r="O16" s="25">
        <f t="shared" si="11"/>
        <v>-36.471055821934875</v>
      </c>
      <c r="P16" s="25">
        <f t="shared" si="12"/>
        <v>2817002.1006734343</v>
      </c>
      <c r="Q16" s="25">
        <f t="shared" si="13"/>
        <v>-1638571.59596789</v>
      </c>
      <c r="R16" s="25">
        <f t="shared" si="1"/>
        <v>38.680050067050956</v>
      </c>
      <c r="S16" s="25">
        <f t="shared" si="2"/>
        <v>-28.812132459872714</v>
      </c>
      <c r="T16" s="35">
        <v>44928</v>
      </c>
      <c r="U16" s="26">
        <f t="shared" si="3"/>
        <v>1737817.2894124654</v>
      </c>
      <c r="V16" s="26">
        <f t="shared" si="4"/>
        <v>-1294471.4871571613</v>
      </c>
      <c r="W16" s="17"/>
      <c r="X16" s="18"/>
    </row>
    <row r="17" spans="1:24" x14ac:dyDescent="0.15">
      <c r="A17">
        <f t="shared" si="5"/>
        <v>31</v>
      </c>
      <c r="B17" s="19"/>
      <c r="C17" s="6">
        <v>0.30997458796932897</v>
      </c>
      <c r="D17" s="13"/>
      <c r="E17" s="29">
        <f t="shared" si="6"/>
        <v>1</v>
      </c>
      <c r="F17" s="28">
        <f t="shared" si="0"/>
        <v>0</v>
      </c>
      <c r="G17" s="1">
        <v>12</v>
      </c>
      <c r="H17" s="21">
        <v>46357</v>
      </c>
      <c r="I17" s="16">
        <v>116.5</v>
      </c>
      <c r="J17" s="25">
        <f t="shared" si="14"/>
        <v>53.925764023905288</v>
      </c>
      <c r="K17" s="25">
        <f t="shared" si="7"/>
        <v>66.682393542911726</v>
      </c>
      <c r="L17" s="25">
        <f t="shared" si="8"/>
        <v>184.88931479516947</v>
      </c>
      <c r="M17" s="25">
        <f t="shared" si="9"/>
        <v>228.62656235311565</v>
      </c>
      <c r="N17" s="25">
        <f t="shared" si="10"/>
        <v>112.12656235311565</v>
      </c>
      <c r="O17" s="25">
        <f t="shared" si="11"/>
        <v>-62.574235976094712</v>
      </c>
      <c r="P17" s="25">
        <f t="shared" si="12"/>
        <v>5541406.838053328</v>
      </c>
      <c r="Q17" s="25">
        <f t="shared" si="13"/>
        <v>-3092481.316174577</v>
      </c>
      <c r="R17" s="25">
        <f t="shared" si="1"/>
        <v>68.389314795169469</v>
      </c>
      <c r="S17" s="25">
        <f t="shared" si="2"/>
        <v>-49.817606457088274</v>
      </c>
      <c r="T17" s="35">
        <v>49421</v>
      </c>
      <c r="U17" s="26">
        <f t="shared" si="3"/>
        <v>3379868.3264920702</v>
      </c>
      <c r="V17" s="26">
        <f t="shared" si="4"/>
        <v>-2462035.9287157594</v>
      </c>
      <c r="W17" s="17"/>
      <c r="X17" s="18"/>
    </row>
    <row r="18" spans="1:24" x14ac:dyDescent="0.15">
      <c r="A18">
        <f t="shared" si="5"/>
        <v>31</v>
      </c>
      <c r="B18" s="19"/>
      <c r="C18" s="6">
        <v>0.30856031824480601</v>
      </c>
      <c r="D18" s="13"/>
      <c r="E18" s="29">
        <f t="shared" si="6"/>
        <v>1.0833333333333333</v>
      </c>
      <c r="F18" s="28">
        <f t="shared" si="0"/>
        <v>0</v>
      </c>
      <c r="G18" s="1">
        <v>13</v>
      </c>
      <c r="H18" s="21">
        <v>46388</v>
      </c>
      <c r="I18" s="16">
        <v>153</v>
      </c>
      <c r="J18" s="25">
        <f t="shared" si="14"/>
        <v>68.755991409905732</v>
      </c>
      <c r="K18" s="25">
        <f t="shared" si="7"/>
        <v>85.674764350455206</v>
      </c>
      <c r="L18" s="25">
        <f t="shared" si="8"/>
        <v>246.45364745913824</v>
      </c>
      <c r="M18" s="25">
        <f t="shared" si="9"/>
        <v>307.0984467883012</v>
      </c>
      <c r="N18" s="25">
        <f t="shared" si="10"/>
        <v>154.0984467883012</v>
      </c>
      <c r="O18" s="25">
        <f t="shared" si="11"/>
        <v>-84.244008590094268</v>
      </c>
      <c r="P18" s="25">
        <f t="shared" si="12"/>
        <v>6923335.0173047967</v>
      </c>
      <c r="Q18" s="25">
        <f t="shared" si="13"/>
        <v>-3784914.8179357555</v>
      </c>
      <c r="R18" s="25">
        <f t="shared" si="1"/>
        <v>93.453647459138239</v>
      </c>
      <c r="S18" s="25">
        <f t="shared" si="2"/>
        <v>-67.325235649544794</v>
      </c>
      <c r="T18" s="35">
        <v>44928</v>
      </c>
      <c r="U18" s="26">
        <f t="shared" si="3"/>
        <v>4198685.4730441626</v>
      </c>
      <c r="V18" s="26">
        <f t="shared" si="4"/>
        <v>-3024788.1872627484</v>
      </c>
      <c r="W18" s="17"/>
      <c r="X18" s="18"/>
    </row>
    <row r="19" spans="1:24" x14ac:dyDescent="0.15">
      <c r="A19">
        <f t="shared" si="5"/>
        <v>28</v>
      </c>
      <c r="B19" s="19"/>
      <c r="C19" s="6">
        <v>0.41531716523460299</v>
      </c>
      <c r="D19" s="13"/>
      <c r="E19" s="29">
        <f t="shared" si="6"/>
        <v>1.1666666666666667</v>
      </c>
      <c r="F19" s="28">
        <f t="shared" si="0"/>
        <v>0</v>
      </c>
      <c r="G19" s="1">
        <v>14</v>
      </c>
      <c r="H19" s="21">
        <v>46419</v>
      </c>
      <c r="I19" s="16">
        <v>134</v>
      </c>
      <c r="J19" s="25">
        <f t="shared" si="14"/>
        <v>42.606124969095887</v>
      </c>
      <c r="K19" s="25">
        <f t="shared" si="7"/>
        <v>57.932861568397918</v>
      </c>
      <c r="L19" s="25">
        <f t="shared" si="8"/>
        <v>253.44793398457827</v>
      </c>
      <c r="M19" s="25">
        <f t="shared" si="9"/>
        <v>344.62096905022997</v>
      </c>
      <c r="N19" s="25">
        <f t="shared" si="10"/>
        <v>210.62096905022997</v>
      </c>
      <c r="O19" s="25">
        <f t="shared" si="11"/>
        <v>-91.393875030904113</v>
      </c>
      <c r="P19" s="25">
        <f t="shared" si="12"/>
        <v>9462778.8974887319</v>
      </c>
      <c r="Q19" s="25">
        <f t="shared" si="13"/>
        <v>-4106144.0173884598</v>
      </c>
      <c r="R19" s="25">
        <f t="shared" si="1"/>
        <v>119.44793398457827</v>
      </c>
      <c r="S19" s="25">
        <f t="shared" si="2"/>
        <v>-76.067138431602075</v>
      </c>
      <c r="T19" s="35">
        <v>44928</v>
      </c>
      <c r="U19" s="26">
        <f t="shared" si="3"/>
        <v>5366556.7780591324</v>
      </c>
      <c r="V19" s="26">
        <f t="shared" si="4"/>
        <v>-3417544.3954550182</v>
      </c>
      <c r="W19" s="17"/>
      <c r="X19" s="18"/>
    </row>
    <row r="20" spans="1:24" x14ac:dyDescent="0.15">
      <c r="A20">
        <f t="shared" si="5"/>
        <v>31</v>
      </c>
      <c r="B20" s="19"/>
      <c r="C20" s="6">
        <v>0.23083922329718301</v>
      </c>
      <c r="D20" s="13"/>
      <c r="E20" s="29">
        <f t="shared" si="6"/>
        <v>1.25</v>
      </c>
      <c r="F20" s="28">
        <f t="shared" si="0"/>
        <v>0</v>
      </c>
      <c r="G20" s="1">
        <v>15</v>
      </c>
      <c r="H20" s="21">
        <v>46447</v>
      </c>
      <c r="I20" s="16">
        <v>74</v>
      </c>
      <c r="J20" s="25">
        <f t="shared" si="14"/>
        <v>39.229156906609113</v>
      </c>
      <c r="K20" s="25">
        <f t="shared" si="7"/>
        <v>46.815261294284092</v>
      </c>
      <c r="L20" s="25">
        <f t="shared" si="8"/>
        <v>109.43300186090188</v>
      </c>
      <c r="M20" s="25">
        <f t="shared" si="9"/>
        <v>130.59507214321195</v>
      </c>
      <c r="N20" s="25">
        <f t="shared" si="10"/>
        <v>56.595072143211951</v>
      </c>
      <c r="O20" s="25">
        <f t="shared" si="11"/>
        <v>-34.770843093390887</v>
      </c>
      <c r="P20" s="25">
        <f t="shared" si="12"/>
        <v>2924097.5924233319</v>
      </c>
      <c r="Q20" s="25">
        <f t="shared" si="13"/>
        <v>-1796505.150106227</v>
      </c>
      <c r="R20" s="25">
        <f t="shared" si="1"/>
        <v>35.433001860901882</v>
      </c>
      <c r="S20" s="25">
        <f t="shared" si="2"/>
        <v>-27.184738705715908</v>
      </c>
      <c r="T20" s="35">
        <v>51667</v>
      </c>
      <c r="U20" s="26">
        <f t="shared" si="3"/>
        <v>1830716.9071472175</v>
      </c>
      <c r="V20" s="26">
        <f t="shared" si="4"/>
        <v>-1404553.8947082239</v>
      </c>
      <c r="W20" s="17"/>
      <c r="X20" s="18"/>
    </row>
    <row r="21" spans="1:24" x14ac:dyDescent="0.15">
      <c r="A21">
        <f t="shared" si="5"/>
        <v>30</v>
      </c>
      <c r="B21" s="19"/>
      <c r="C21" s="6">
        <v>0.158604125657372</v>
      </c>
      <c r="D21" s="13"/>
      <c r="E21" s="29">
        <f t="shared" si="6"/>
        <v>1.3333333333333333</v>
      </c>
      <c r="F21" s="28">
        <f t="shared" si="0"/>
        <v>0</v>
      </c>
      <c r="G21" s="1">
        <v>16</v>
      </c>
      <c r="H21" s="21">
        <v>46478</v>
      </c>
      <c r="I21" s="16">
        <v>51.75</v>
      </c>
      <c r="J21" s="25">
        <f t="shared" si="14"/>
        <v>33.212869142606877</v>
      </c>
      <c r="K21" s="25">
        <f t="shared" si="7"/>
        <v>37.652091734256231</v>
      </c>
      <c r="L21" s="25">
        <f t="shared" si="8"/>
        <v>68.780480842617521</v>
      </c>
      <c r="M21" s="25">
        <f t="shared" si="9"/>
        <v>77.973660242748295</v>
      </c>
      <c r="N21" s="25">
        <f t="shared" si="10"/>
        <v>26.223660242748295</v>
      </c>
      <c r="O21" s="25">
        <f t="shared" si="11"/>
        <v>-18.537130857393123</v>
      </c>
      <c r="P21" s="25">
        <f t="shared" si="12"/>
        <v>972006.19055770827</v>
      </c>
      <c r="Q21" s="25">
        <f t="shared" si="13"/>
        <v>-687097.29236013349</v>
      </c>
      <c r="R21" s="25">
        <f t="shared" si="1"/>
        <v>17.030480842617521</v>
      </c>
      <c r="S21" s="25">
        <f t="shared" si="2"/>
        <v>-14.097908265743769</v>
      </c>
      <c r="T21" s="35">
        <v>37066</v>
      </c>
      <c r="U21" s="26">
        <f t="shared" si="3"/>
        <v>631251.80291246099</v>
      </c>
      <c r="V21" s="26">
        <f t="shared" si="4"/>
        <v>-522553.06777805852</v>
      </c>
      <c r="W21" s="17"/>
      <c r="X21" s="18"/>
    </row>
    <row r="22" spans="1:24" x14ac:dyDescent="0.15">
      <c r="A22">
        <f t="shared" si="5"/>
        <v>31</v>
      </c>
      <c r="B22" s="19"/>
      <c r="C22" s="6">
        <v>0.29103303151502102</v>
      </c>
      <c r="D22" s="13"/>
      <c r="E22" s="29">
        <f t="shared" si="6"/>
        <v>1.4166666666666667</v>
      </c>
      <c r="F22" s="28">
        <f t="shared" si="0"/>
        <v>0</v>
      </c>
      <c r="G22" s="1">
        <v>17</v>
      </c>
      <c r="H22" s="21">
        <v>46508</v>
      </c>
      <c r="I22" s="16">
        <v>45.25</v>
      </c>
      <c r="J22" s="25">
        <f t="shared" si="14"/>
        <v>19.012524624504596</v>
      </c>
      <c r="K22" s="25">
        <f t="shared" si="7"/>
        <v>24.104076841855111</v>
      </c>
      <c r="L22" s="25">
        <f t="shared" si="8"/>
        <v>75.341594380455476</v>
      </c>
      <c r="M22" s="25">
        <f t="shared" si="9"/>
        <v>95.518065917124233</v>
      </c>
      <c r="N22" s="25">
        <f t="shared" si="10"/>
        <v>50.268065917124233</v>
      </c>
      <c r="O22" s="25">
        <f t="shared" si="11"/>
        <v>-26.237475375495404</v>
      </c>
      <c r="P22" s="25">
        <f t="shared" si="12"/>
        <v>1693832.7491434182</v>
      </c>
      <c r="Q22" s="25">
        <f t="shared" si="13"/>
        <v>-884097.97025269317</v>
      </c>
      <c r="R22" s="25">
        <f t="shared" si="1"/>
        <v>30.091594380455476</v>
      </c>
      <c r="S22" s="25">
        <f t="shared" si="2"/>
        <v>-21.145923158144889</v>
      </c>
      <c r="T22" s="35">
        <v>33696</v>
      </c>
      <c r="U22" s="26">
        <f t="shared" si="3"/>
        <v>1013966.3642438278</v>
      </c>
      <c r="V22" s="26">
        <f t="shared" si="4"/>
        <v>-712533.02673685015</v>
      </c>
      <c r="W22" s="17"/>
      <c r="X22" s="18"/>
    </row>
    <row r="23" spans="1:24" x14ac:dyDescent="0.15">
      <c r="A23">
        <f t="shared" si="5"/>
        <v>30</v>
      </c>
      <c r="B23" s="19"/>
      <c r="C23" s="6">
        <v>0.17372147745382199</v>
      </c>
      <c r="D23" s="13"/>
      <c r="E23" s="29">
        <f t="shared" si="6"/>
        <v>1.5</v>
      </c>
      <c r="F23" s="28">
        <f t="shared" si="0"/>
        <v>0</v>
      </c>
      <c r="G23" s="1">
        <v>18</v>
      </c>
      <c r="H23" s="21">
        <v>46539</v>
      </c>
      <c r="I23" s="16">
        <v>57</v>
      </c>
      <c r="J23" s="25">
        <f t="shared" si="14"/>
        <v>33.942762349246223</v>
      </c>
      <c r="K23" s="25">
        <f t="shared" si="7"/>
        <v>39.268368434641744</v>
      </c>
      <c r="L23" s="25">
        <f t="shared" si="8"/>
        <v>79.076401105251605</v>
      </c>
      <c r="M23" s="25">
        <f t="shared" si="9"/>
        <v>91.48345739030546</v>
      </c>
      <c r="N23" s="25">
        <f t="shared" si="10"/>
        <v>34.48345739030546</v>
      </c>
      <c r="O23" s="25">
        <f t="shared" si="11"/>
        <v>-23.057237650753777</v>
      </c>
      <c r="P23" s="25">
        <f t="shared" si="12"/>
        <v>1704206.9476862862</v>
      </c>
      <c r="Q23" s="25">
        <f t="shared" si="13"/>
        <v>-1139511.7419379023</v>
      </c>
      <c r="R23" s="25">
        <f t="shared" si="1"/>
        <v>22.076401105251605</v>
      </c>
      <c r="S23" s="25">
        <f t="shared" si="2"/>
        <v>-17.731631565358256</v>
      </c>
      <c r="T23" s="35">
        <v>49421</v>
      </c>
      <c r="U23" s="26">
        <f t="shared" si="3"/>
        <v>1091037.8190226397</v>
      </c>
      <c r="V23" s="26">
        <f t="shared" si="4"/>
        <v>-876314.96359157038</v>
      </c>
      <c r="W23" s="17"/>
      <c r="X23" s="18"/>
    </row>
    <row r="24" spans="1:24" x14ac:dyDescent="0.15">
      <c r="A24">
        <f t="shared" si="5"/>
        <v>31</v>
      </c>
      <c r="B24" s="19"/>
      <c r="C24" s="6">
        <v>0.18976308965192901</v>
      </c>
      <c r="D24" s="13"/>
      <c r="E24" s="29">
        <f t="shared" si="6"/>
        <v>1.5833333333333333</v>
      </c>
      <c r="F24" s="28">
        <f t="shared" si="0"/>
        <v>0</v>
      </c>
      <c r="G24" s="1">
        <v>19</v>
      </c>
      <c r="H24" s="21">
        <v>46569</v>
      </c>
      <c r="I24" s="16">
        <v>91.25</v>
      </c>
      <c r="J24" s="25">
        <f t="shared" si="14"/>
        <v>50.842757686612565</v>
      </c>
      <c r="K24" s="25">
        <f t="shared" si="7"/>
        <v>59.877569959952382</v>
      </c>
      <c r="L24" s="25">
        <f t="shared" si="8"/>
        <v>131.35296995636682</v>
      </c>
      <c r="M24" s="25">
        <f t="shared" si="9"/>
        <v>154.69453282784548</v>
      </c>
      <c r="N24" s="25">
        <f t="shared" si="10"/>
        <v>63.444532827845478</v>
      </c>
      <c r="O24" s="25">
        <f t="shared" si="11"/>
        <v>-40.407242313387435</v>
      </c>
      <c r="P24" s="25">
        <f t="shared" si="12"/>
        <v>2992932.3916207827</v>
      </c>
      <c r="Q24" s="25">
        <f t="shared" si="13"/>
        <v>-1906171.2488917389</v>
      </c>
      <c r="R24" s="25">
        <f t="shared" si="1"/>
        <v>40.10296995636682</v>
      </c>
      <c r="S24" s="25">
        <f t="shared" si="2"/>
        <v>-31.372430040047618</v>
      </c>
      <c r="T24" s="35">
        <v>47174</v>
      </c>
      <c r="U24" s="26">
        <f t="shared" si="3"/>
        <v>1891817.5047216483</v>
      </c>
      <c r="V24" s="26">
        <f t="shared" si="4"/>
        <v>-1479963.0147092063</v>
      </c>
      <c r="W24" s="17"/>
      <c r="X24" s="18"/>
    </row>
    <row r="25" spans="1:24" x14ac:dyDescent="0.15">
      <c r="A25">
        <f t="shared" si="5"/>
        <v>31</v>
      </c>
      <c r="B25" s="19"/>
      <c r="C25" s="6">
        <v>0.24299042288452699</v>
      </c>
      <c r="D25" s="13"/>
      <c r="E25" s="29">
        <f t="shared" si="6"/>
        <v>1.6666666666666667</v>
      </c>
      <c r="F25" s="28">
        <f t="shared" si="0"/>
        <v>0</v>
      </c>
      <c r="G25" s="1">
        <v>20</v>
      </c>
      <c r="H25" s="21">
        <v>46600</v>
      </c>
      <c r="I25" s="16">
        <v>72.849999999999994</v>
      </c>
      <c r="J25" s="25">
        <f t="shared" si="14"/>
        <v>33.390771936908109</v>
      </c>
      <c r="K25" s="25">
        <f t="shared" si="7"/>
        <v>41.395144200775057</v>
      </c>
      <c r="L25" s="25">
        <f t="shared" si="8"/>
        <v>116.19086634868134</v>
      </c>
      <c r="M25" s="25">
        <f t="shared" si="9"/>
        <v>144.04391957169034</v>
      </c>
      <c r="N25" s="25">
        <f t="shared" si="10"/>
        <v>71.193919571690344</v>
      </c>
      <c r="O25" s="25">
        <f t="shared" si="11"/>
        <v>-39.459228063091885</v>
      </c>
      <c r="P25" s="25">
        <f t="shared" si="12"/>
        <v>3518474.6991525083</v>
      </c>
      <c r="Q25" s="25">
        <f t="shared" si="13"/>
        <v>-1950114.5101060641</v>
      </c>
      <c r="R25" s="25">
        <f t="shared" si="1"/>
        <v>43.340866348681345</v>
      </c>
      <c r="S25" s="25">
        <f t="shared" si="2"/>
        <v>-31.454855799224937</v>
      </c>
      <c r="T25" s="35">
        <v>49421</v>
      </c>
      <c r="U25" s="26">
        <f t="shared" si="3"/>
        <v>2141948.9558181809</v>
      </c>
      <c r="V25" s="26">
        <f t="shared" si="4"/>
        <v>-1554530.4284534957</v>
      </c>
      <c r="W25" s="17"/>
      <c r="X25" s="18"/>
    </row>
    <row r="26" spans="1:24" x14ac:dyDescent="0.15">
      <c r="A26">
        <f t="shared" si="5"/>
        <v>30</v>
      </c>
      <c r="B26" s="19"/>
      <c r="C26" s="6">
        <v>0.17147114507733899</v>
      </c>
      <c r="D26" s="13"/>
      <c r="E26" s="29">
        <f t="shared" si="6"/>
        <v>1.75</v>
      </c>
      <c r="F26" s="28">
        <f t="shared" si="0"/>
        <v>0</v>
      </c>
      <c r="G26" s="1">
        <v>21</v>
      </c>
      <c r="H26" s="21">
        <v>46631</v>
      </c>
      <c r="I26" s="16">
        <v>47.75</v>
      </c>
      <c r="J26" s="25">
        <f t="shared" si="14"/>
        <v>27.432445343891203</v>
      </c>
      <c r="K26" s="25">
        <f t="shared" si="7"/>
        <v>32.043950924821452</v>
      </c>
      <c r="L26" s="25">
        <f t="shared" si="8"/>
        <v>67.585643633252943</v>
      </c>
      <c r="M26" s="25">
        <f t="shared" si="9"/>
        <v>78.947065077765672</v>
      </c>
      <c r="N26" s="25">
        <f t="shared" si="10"/>
        <v>31.197065077765672</v>
      </c>
      <c r="O26" s="25">
        <f t="shared" si="11"/>
        <v>-20.317554656108797</v>
      </c>
      <c r="P26" s="25">
        <f t="shared" si="12"/>
        <v>1103783.3595164272</v>
      </c>
      <c r="Q26" s="25">
        <f t="shared" si="13"/>
        <v>-718855.40128778538</v>
      </c>
      <c r="R26" s="25">
        <f t="shared" si="1"/>
        <v>19.835643633252943</v>
      </c>
      <c r="S26" s="25">
        <f t="shared" si="2"/>
        <v>-15.706049075178548</v>
      </c>
      <c r="T26" s="35">
        <v>35381</v>
      </c>
      <c r="U26" s="26">
        <f t="shared" si="3"/>
        <v>701804.9073881224</v>
      </c>
      <c r="V26" s="26">
        <f t="shared" si="4"/>
        <v>-555695.72232889221</v>
      </c>
      <c r="W26" s="17"/>
      <c r="X26" s="18"/>
    </row>
    <row r="27" spans="1:24" x14ac:dyDescent="0.15">
      <c r="A27">
        <f t="shared" si="5"/>
        <v>31</v>
      </c>
      <c r="B27" s="19"/>
      <c r="C27" s="6">
        <v>0.26570565613998498</v>
      </c>
      <c r="D27" s="13"/>
      <c r="E27" s="29">
        <f t="shared" si="6"/>
        <v>1.8333333333333333</v>
      </c>
      <c r="F27" s="28">
        <f t="shared" si="0"/>
        <v>0</v>
      </c>
      <c r="G27" s="1">
        <v>22</v>
      </c>
      <c r="H27" s="21">
        <v>46661</v>
      </c>
      <c r="I27" s="16">
        <v>47.75</v>
      </c>
      <c r="J27" s="25">
        <f t="shared" si="14"/>
        <v>19.356056767649953</v>
      </c>
      <c r="K27" s="25">
        <f t="shared" si="7"/>
        <v>24.765359583311646</v>
      </c>
      <c r="L27" s="25">
        <f t="shared" si="8"/>
        <v>80.889161359312325</v>
      </c>
      <c r="M27" s="25">
        <f t="shared" si="9"/>
        <v>103.49469375415066</v>
      </c>
      <c r="N27" s="25">
        <f t="shared" si="10"/>
        <v>55.74469375415066</v>
      </c>
      <c r="O27" s="25">
        <f t="shared" si="11"/>
        <v>-28.393943232350047</v>
      </c>
      <c r="P27" s="25">
        <f t="shared" si="12"/>
        <v>1972303.0097156046</v>
      </c>
      <c r="Q27" s="25">
        <f t="shared" si="13"/>
        <v>-1004606.105503777</v>
      </c>
      <c r="R27" s="25">
        <f t="shared" si="1"/>
        <v>33.139161359312325</v>
      </c>
      <c r="S27" s="25">
        <f t="shared" si="2"/>
        <v>-22.984640416688354</v>
      </c>
      <c r="T27" s="35">
        <v>35381</v>
      </c>
      <c r="U27" s="26">
        <f t="shared" si="3"/>
        <v>1172496.6680538293</v>
      </c>
      <c r="V27" s="26">
        <f t="shared" si="4"/>
        <v>-813219.56258285069</v>
      </c>
      <c r="W27" s="17"/>
      <c r="X27" s="18"/>
    </row>
    <row r="28" spans="1:24" x14ac:dyDescent="0.15">
      <c r="A28">
        <f t="shared" si="5"/>
        <v>30</v>
      </c>
      <c r="B28" s="19"/>
      <c r="C28" s="6">
        <v>0.28507823257333498</v>
      </c>
      <c r="D28" s="13"/>
      <c r="E28" s="29">
        <f t="shared" si="6"/>
        <v>1.9166666666666667</v>
      </c>
      <c r="F28" s="28">
        <f t="shared" si="0"/>
        <v>0</v>
      </c>
      <c r="G28" s="1">
        <v>23</v>
      </c>
      <c r="H28" s="21">
        <v>46692</v>
      </c>
      <c r="I28" s="16">
        <v>63</v>
      </c>
      <c r="J28" s="25">
        <f t="shared" si="14"/>
        <v>23.235084681504937</v>
      </c>
      <c r="K28" s="25">
        <f t="shared" si="7"/>
        <v>30.447819185904756</v>
      </c>
      <c r="L28" s="25">
        <f t="shared" si="8"/>
        <v>111.55172111899979</v>
      </c>
      <c r="M28" s="25">
        <f t="shared" si="9"/>
        <v>146.18008417293993</v>
      </c>
      <c r="N28" s="25">
        <f t="shared" si="10"/>
        <v>83.180084172939928</v>
      </c>
      <c r="O28" s="25">
        <f t="shared" si="11"/>
        <v>-39.764915318495063</v>
      </c>
      <c r="P28" s="25">
        <f t="shared" si="12"/>
        <v>3923937.2907742681</v>
      </c>
      <c r="Q28" s="25">
        <f t="shared" si="13"/>
        <v>-1875870.1152346861</v>
      </c>
      <c r="R28" s="25">
        <f t="shared" si="1"/>
        <v>48.551721118999794</v>
      </c>
      <c r="S28" s="25">
        <f t="shared" si="2"/>
        <v>-32.552180814095244</v>
      </c>
      <c r="T28" s="35">
        <v>47174</v>
      </c>
      <c r="U28" s="26">
        <f t="shared" si="3"/>
        <v>2290378.8920676964</v>
      </c>
      <c r="V28" s="26">
        <f t="shared" si="4"/>
        <v>-1535616.577724129</v>
      </c>
      <c r="W28" s="17"/>
      <c r="X28" s="18"/>
    </row>
    <row r="29" spans="1:24" x14ac:dyDescent="0.15">
      <c r="A29">
        <f t="shared" si="5"/>
        <v>31</v>
      </c>
      <c r="B29" s="19"/>
      <c r="C29" s="6">
        <v>0.204958271145224</v>
      </c>
      <c r="D29" s="13"/>
      <c r="E29" s="29">
        <f t="shared" si="6"/>
        <v>2</v>
      </c>
      <c r="F29" s="28">
        <f t="shared" si="0"/>
        <v>0</v>
      </c>
      <c r="G29" s="1">
        <v>24</v>
      </c>
      <c r="H29" s="21">
        <v>46722</v>
      </c>
      <c r="I29" s="16">
        <v>98.5</v>
      </c>
      <c r="J29" s="25">
        <f t="shared" si="14"/>
        <v>48.071382838890955</v>
      </c>
      <c r="K29" s="25">
        <f t="shared" si="7"/>
        <v>58.62947543666774</v>
      </c>
      <c r="L29" s="25">
        <f t="shared" si="8"/>
        <v>152.14891521508977</v>
      </c>
      <c r="M29" s="25">
        <f t="shared" si="9"/>
        <v>185.56593466876328</v>
      </c>
      <c r="N29" s="25">
        <f t="shared" si="10"/>
        <v>87.065934668763276</v>
      </c>
      <c r="O29" s="25">
        <f t="shared" si="11"/>
        <v>-50.428617161109045</v>
      </c>
      <c r="P29" s="25">
        <f t="shared" si="12"/>
        <v>4498435.6465309924</v>
      </c>
      <c r="Q29" s="25">
        <f t="shared" si="13"/>
        <v>-2605495.362863021</v>
      </c>
      <c r="R29" s="25">
        <f t="shared" si="1"/>
        <v>53.648915215089772</v>
      </c>
      <c r="S29" s="25">
        <f t="shared" si="2"/>
        <v>-39.87052456333226</v>
      </c>
      <c r="T29" s="35">
        <v>51667</v>
      </c>
      <c r="U29" s="26">
        <f t="shared" si="3"/>
        <v>2771878.5024180431</v>
      </c>
      <c r="V29" s="26">
        <f t="shared" si="4"/>
        <v>-2059990.392613688</v>
      </c>
      <c r="W29" s="17"/>
      <c r="X29" s="18"/>
    </row>
    <row r="30" spans="1:24" x14ac:dyDescent="0.15">
      <c r="A30">
        <f t="shared" si="5"/>
        <v>31</v>
      </c>
      <c r="B30" s="19"/>
      <c r="C30" s="6">
        <v>0.32201799204367199</v>
      </c>
      <c r="D30" s="13"/>
      <c r="E30" s="29">
        <f t="shared" si="6"/>
        <v>2.0833333333333335</v>
      </c>
      <c r="F30" s="28">
        <f t="shared" si="0"/>
        <v>0</v>
      </c>
      <c r="G30" s="1">
        <v>25</v>
      </c>
      <c r="H30" s="21">
        <v>46753</v>
      </c>
      <c r="I30" s="16">
        <v>147</v>
      </c>
      <c r="J30" s="25">
        <f t="shared" si="14"/>
        <v>44.676552404734274</v>
      </c>
      <c r="K30" s="25">
        <f t="shared" si="7"/>
        <v>61.425924577582769</v>
      </c>
      <c r="L30" s="25">
        <f t="shared" si="8"/>
        <v>283.44007631203516</v>
      </c>
      <c r="M30" s="25">
        <f t="shared" si="9"/>
        <v>389.70260265566992</v>
      </c>
      <c r="N30" s="25">
        <f t="shared" si="10"/>
        <v>242.70260265566992</v>
      </c>
      <c r="O30" s="25">
        <f t="shared" si="11"/>
        <v>-102.32344759526572</v>
      </c>
      <c r="P30" s="25">
        <f t="shared" si="12"/>
        <v>11449252.577678572</v>
      </c>
      <c r="Q30" s="25">
        <f t="shared" si="13"/>
        <v>-4827006.3168590646</v>
      </c>
      <c r="R30" s="25">
        <f t="shared" si="1"/>
        <v>136.44007631203516</v>
      </c>
      <c r="S30" s="25">
        <f t="shared" si="2"/>
        <v>-85.574075422417224</v>
      </c>
      <c r="T30" s="35">
        <v>47174</v>
      </c>
      <c r="U30" s="26">
        <f t="shared" si="3"/>
        <v>6436424.1599439466</v>
      </c>
      <c r="V30" s="26">
        <f t="shared" si="4"/>
        <v>-4036871.4339771103</v>
      </c>
      <c r="W30" s="17"/>
      <c r="X30" s="18"/>
    </row>
    <row r="31" spans="1:24" x14ac:dyDescent="0.15">
      <c r="A31">
        <f t="shared" si="5"/>
        <v>29</v>
      </c>
      <c r="B31" s="19"/>
      <c r="C31" s="6">
        <v>0.43711572461168802</v>
      </c>
      <c r="D31" s="13"/>
      <c r="E31" s="29">
        <f t="shared" si="6"/>
        <v>2.1666666666666665</v>
      </c>
      <c r="F31" s="28">
        <f t="shared" si="0"/>
        <v>0</v>
      </c>
      <c r="G31" s="1">
        <v>26</v>
      </c>
      <c r="H31" s="21">
        <v>46784</v>
      </c>
      <c r="I31" s="16">
        <v>128</v>
      </c>
      <c r="J31" s="25">
        <f t="shared" si="14"/>
        <v>23.240028507588395</v>
      </c>
      <c r="K31" s="25">
        <f t="shared" si="7"/>
        <v>36.111694214667729</v>
      </c>
      <c r="L31" s="25">
        <f t="shared" si="8"/>
        <v>299.90280414267221</v>
      </c>
      <c r="M31" s="25">
        <f t="shared" si="9"/>
        <v>466.00624236692846</v>
      </c>
      <c r="N31" s="25">
        <f t="shared" si="10"/>
        <v>338.00624236692846</v>
      </c>
      <c r="O31" s="25">
        <f t="shared" si="11"/>
        <v>-104.75997149241161</v>
      </c>
      <c r="P31" s="25">
        <f t="shared" si="12"/>
        <v>15945106.477417484</v>
      </c>
      <c r="Q31" s="25">
        <f t="shared" si="13"/>
        <v>-4941946.8951830249</v>
      </c>
      <c r="R31" s="25">
        <f t="shared" si="1"/>
        <v>171.90280414267221</v>
      </c>
      <c r="S31" s="25">
        <f t="shared" si="2"/>
        <v>-91.888305785332278</v>
      </c>
      <c r="T31" s="35">
        <v>47174</v>
      </c>
      <c r="U31" s="26">
        <f t="shared" si="3"/>
        <v>8109342.882626419</v>
      </c>
      <c r="V31" s="26">
        <f t="shared" si="4"/>
        <v>-4334738.9371172646</v>
      </c>
      <c r="W31" s="17"/>
      <c r="X31" s="18"/>
    </row>
    <row r="32" spans="1:24" x14ac:dyDescent="0.15">
      <c r="A32">
        <f t="shared" si="5"/>
        <v>31</v>
      </c>
      <c r="B32" s="19"/>
      <c r="C32" s="6">
        <v>0.252443483398546</v>
      </c>
      <c r="D32" s="13"/>
      <c r="E32" s="29">
        <f t="shared" si="6"/>
        <v>2.25</v>
      </c>
      <c r="F32" s="28">
        <f t="shared" si="0"/>
        <v>0</v>
      </c>
      <c r="G32" s="1">
        <v>27</v>
      </c>
      <c r="H32" s="21">
        <v>46813</v>
      </c>
      <c r="I32" s="16">
        <v>68</v>
      </c>
      <c r="J32" s="25">
        <f t="shared" si="14"/>
        <v>26.193834387433697</v>
      </c>
      <c r="K32" s="25">
        <f t="shared" si="7"/>
        <v>33.950708867657717</v>
      </c>
      <c r="L32" s="25">
        <f t="shared" si="8"/>
        <v>118.00397662537031</v>
      </c>
      <c r="M32" s="25">
        <f t="shared" si="9"/>
        <v>152.94891906149627</v>
      </c>
      <c r="N32" s="25">
        <f t="shared" si="10"/>
        <v>84.948919061496269</v>
      </c>
      <c r="O32" s="25">
        <f t="shared" si="11"/>
        <v>-41.806165612566303</v>
      </c>
      <c r="P32" s="25">
        <f t="shared" si="12"/>
        <v>4389055.8011503275</v>
      </c>
      <c r="Q32" s="25">
        <f t="shared" si="13"/>
        <v>-2159999.1587044634</v>
      </c>
      <c r="R32" s="25">
        <f t="shared" si="1"/>
        <v>50.003976625370314</v>
      </c>
      <c r="S32" s="25">
        <f t="shared" si="2"/>
        <v>-34.049291132342283</v>
      </c>
      <c r="T32" s="35">
        <v>51667</v>
      </c>
      <c r="U32" s="26">
        <f t="shared" si="3"/>
        <v>2583555.4603030081</v>
      </c>
      <c r="V32" s="26">
        <f t="shared" si="4"/>
        <v>-1759224.7249347288</v>
      </c>
      <c r="W32" s="17"/>
      <c r="X32" s="18"/>
    </row>
    <row r="33" spans="1:24" x14ac:dyDescent="0.15">
      <c r="A33">
        <f t="shared" si="5"/>
        <v>30</v>
      </c>
      <c r="B33" s="19"/>
      <c r="C33" s="6">
        <v>0.179797828089232</v>
      </c>
      <c r="D33" s="13"/>
      <c r="E33" s="29">
        <f t="shared" si="6"/>
        <v>2.3333333333333335</v>
      </c>
      <c r="F33" s="28">
        <f t="shared" si="0"/>
        <v>0</v>
      </c>
      <c r="G33" s="1">
        <v>28</v>
      </c>
      <c r="H33" s="21">
        <v>46844</v>
      </c>
      <c r="I33" s="16">
        <v>45.75</v>
      </c>
      <c r="J33" s="25">
        <f t="shared" si="14"/>
        <v>23.23249931494545</v>
      </c>
      <c r="K33" s="25">
        <f t="shared" si="7"/>
        <v>28.041468950686696</v>
      </c>
      <c r="L33" s="25">
        <f t="shared" si="8"/>
        <v>69.218548180428158</v>
      </c>
      <c r="M33" s="25">
        <f t="shared" si="9"/>
        <v>83.546317737947817</v>
      </c>
      <c r="N33" s="25">
        <f t="shared" si="10"/>
        <v>37.796317737947817</v>
      </c>
      <c r="O33" s="25">
        <f t="shared" si="11"/>
        <v>-22.51750068505455</v>
      </c>
      <c r="P33" s="25">
        <f t="shared" si="12"/>
        <v>1273584.7224978895</v>
      </c>
      <c r="Q33" s="25">
        <f t="shared" si="13"/>
        <v>-758749.70308359817</v>
      </c>
      <c r="R33" s="25">
        <f t="shared" si="1"/>
        <v>23.468548180428158</v>
      </c>
      <c r="S33" s="25">
        <f t="shared" si="2"/>
        <v>-17.708531049313304</v>
      </c>
      <c r="T33" s="35">
        <v>33696</v>
      </c>
      <c r="U33" s="26">
        <f t="shared" si="3"/>
        <v>790796.19948770723</v>
      </c>
      <c r="V33" s="26">
        <f t="shared" si="4"/>
        <v>-596706.66223766108</v>
      </c>
      <c r="W33" s="17"/>
      <c r="X33" s="18"/>
    </row>
    <row r="34" spans="1:24" x14ac:dyDescent="0.15">
      <c r="A34">
        <f t="shared" si="5"/>
        <v>31</v>
      </c>
      <c r="B34" s="19"/>
      <c r="C34" s="6">
        <v>0.33412844340612302</v>
      </c>
      <c r="D34" s="13"/>
      <c r="E34" s="29">
        <f t="shared" si="6"/>
        <v>2.4166666666666665</v>
      </c>
      <c r="F34" s="28">
        <f t="shared" si="0"/>
        <v>0</v>
      </c>
      <c r="G34" s="1">
        <v>29</v>
      </c>
      <c r="H34" s="21">
        <v>46874</v>
      </c>
      <c r="I34" s="16">
        <v>39.25</v>
      </c>
      <c r="J34" s="25">
        <f t="shared" si="14"/>
        <v>10.224568722167449</v>
      </c>
      <c r="K34" s="25">
        <f t="shared" si="7"/>
        <v>14.593829574196205</v>
      </c>
      <c r="L34" s="25">
        <f t="shared" si="8"/>
        <v>80.600352582270162</v>
      </c>
      <c r="M34" s="25">
        <f t="shared" si="9"/>
        <v>115.04326893080194</v>
      </c>
      <c r="N34" s="25">
        <f t="shared" si="10"/>
        <v>75.793268930801943</v>
      </c>
      <c r="O34" s="25">
        <f t="shared" si="11"/>
        <v>-29.025431277832553</v>
      </c>
      <c r="P34" s="25">
        <f t="shared" si="12"/>
        <v>2809353.3061891049</v>
      </c>
      <c r="Q34" s="25">
        <f t="shared" si="13"/>
        <v>-1075856.6357441414</v>
      </c>
      <c r="R34" s="25">
        <f t="shared" si="1"/>
        <v>41.350352582270162</v>
      </c>
      <c r="S34" s="25">
        <f t="shared" si="2"/>
        <v>-24.656170425803793</v>
      </c>
      <c r="T34" s="35">
        <v>37066</v>
      </c>
      <c r="U34" s="26">
        <f t="shared" si="3"/>
        <v>1532692.1688144258</v>
      </c>
      <c r="V34" s="26">
        <f t="shared" si="4"/>
        <v>-913905.61300284346</v>
      </c>
      <c r="W34" s="17"/>
      <c r="X34" s="18"/>
    </row>
    <row r="35" spans="1:24" x14ac:dyDescent="0.15">
      <c r="A35">
        <f t="shared" si="5"/>
        <v>30</v>
      </c>
      <c r="B35" s="19"/>
      <c r="C35" s="6">
        <v>0.19488234259911</v>
      </c>
      <c r="D35" s="13"/>
      <c r="E35" s="29">
        <f t="shared" si="6"/>
        <v>2.5</v>
      </c>
      <c r="F35" s="28">
        <f t="shared" si="0"/>
        <v>0</v>
      </c>
      <c r="G35" s="1">
        <v>30</v>
      </c>
      <c r="H35" s="21">
        <v>46905</v>
      </c>
      <c r="I35" s="16">
        <v>51</v>
      </c>
      <c r="J35" s="25">
        <f t="shared" si="14"/>
        <v>23.721807010545263</v>
      </c>
      <c r="K35" s="25">
        <f t="shared" si="7"/>
        <v>29.296496601229709</v>
      </c>
      <c r="L35" s="25">
        <f t="shared" si="8"/>
        <v>80.740112424997335</v>
      </c>
      <c r="M35" s="25">
        <f t="shared" si="9"/>
        <v>99.714259887129401</v>
      </c>
      <c r="N35" s="25">
        <f t="shared" si="10"/>
        <v>48.714259887129401</v>
      </c>
      <c r="O35" s="25">
        <f t="shared" si="11"/>
        <v>-27.278192989454737</v>
      </c>
      <c r="P35" s="25">
        <f t="shared" si="12"/>
        <v>2407507.4378818222</v>
      </c>
      <c r="Q35" s="25">
        <f t="shared" si="13"/>
        <v>-1348115.5757318425</v>
      </c>
      <c r="R35" s="25">
        <f t="shared" si="1"/>
        <v>29.740112424997335</v>
      </c>
      <c r="S35" s="25">
        <f t="shared" si="2"/>
        <v>-21.703503398770291</v>
      </c>
      <c r="T35" s="35">
        <v>49421</v>
      </c>
      <c r="U35" s="26">
        <f t="shared" si="3"/>
        <v>1469786.0961557934</v>
      </c>
      <c r="V35" s="26">
        <f t="shared" si="4"/>
        <v>-1072608.8414706266</v>
      </c>
      <c r="W35" s="17"/>
      <c r="X35" s="18"/>
    </row>
    <row r="36" spans="1:24" x14ac:dyDescent="0.15">
      <c r="A36">
        <f t="shared" si="5"/>
        <v>31</v>
      </c>
      <c r="B36" s="19"/>
      <c r="C36" s="6">
        <v>0.20367484831494601</v>
      </c>
      <c r="D36" s="13"/>
      <c r="E36" s="29">
        <f t="shared" si="6"/>
        <v>2.5833333333333335</v>
      </c>
      <c r="F36" s="28">
        <f t="shared" si="0"/>
        <v>0</v>
      </c>
      <c r="G36" s="1">
        <v>31</v>
      </c>
      <c r="H36" s="21">
        <v>46935</v>
      </c>
      <c r="I36" s="16">
        <v>85.25</v>
      </c>
      <c r="J36" s="25">
        <f t="shared" si="14"/>
        <v>37.684655602261969</v>
      </c>
      <c r="K36" s="25">
        <f t="shared" si="7"/>
        <v>47.157621419256976</v>
      </c>
      <c r="L36" s="25">
        <f t="shared" si="8"/>
        <v>138.45080044715283</v>
      </c>
      <c r="M36" s="25">
        <f t="shared" si="9"/>
        <v>173.25381719258786</v>
      </c>
      <c r="N36" s="25">
        <f t="shared" si="10"/>
        <v>88.00381719258786</v>
      </c>
      <c r="O36" s="25">
        <f t="shared" si="11"/>
        <v>-47.565344397738031</v>
      </c>
      <c r="P36" s="25">
        <f t="shared" si="12"/>
        <v>3953835.4988285876</v>
      </c>
      <c r="Q36" s="25">
        <f t="shared" si="13"/>
        <v>-2137015.7931015743</v>
      </c>
      <c r="R36" s="25">
        <f t="shared" si="1"/>
        <v>53.20080044715283</v>
      </c>
      <c r="S36" s="25">
        <f t="shared" si="2"/>
        <v>-38.092378580743024</v>
      </c>
      <c r="T36" s="35">
        <v>44928</v>
      </c>
      <c r="U36" s="26">
        <f t="shared" si="3"/>
        <v>2390205.5624896823</v>
      </c>
      <c r="V36" s="26">
        <f t="shared" si="4"/>
        <v>-1711414.3848756226</v>
      </c>
      <c r="W36" s="17"/>
      <c r="X36" s="18"/>
    </row>
    <row r="37" spans="1:24" x14ac:dyDescent="0.15">
      <c r="A37">
        <f t="shared" si="5"/>
        <v>31</v>
      </c>
      <c r="B37" s="19"/>
      <c r="C37" s="6">
        <v>0.26486386209682999</v>
      </c>
      <c r="D37" s="13"/>
      <c r="E37" s="29">
        <f t="shared" si="6"/>
        <v>2.6666666666666665</v>
      </c>
      <c r="F37" s="28">
        <f t="shared" si="0"/>
        <v>0</v>
      </c>
      <c r="G37" s="1">
        <v>32</v>
      </c>
      <c r="H37" s="21">
        <v>46966</v>
      </c>
      <c r="I37" s="16">
        <v>66.849999999999994</v>
      </c>
      <c r="J37" s="25">
        <f t="shared" si="14"/>
        <v>22.22328269639938</v>
      </c>
      <c r="K37" s="25">
        <f t="shared" si="7"/>
        <v>29.886811891004175</v>
      </c>
      <c r="L37" s="25">
        <f t="shared" si="8"/>
        <v>124.01604966697111</v>
      </c>
      <c r="M37" s="25">
        <f t="shared" si="9"/>
        <v>166.78203659186295</v>
      </c>
      <c r="N37" s="25">
        <f t="shared" si="10"/>
        <v>99.932036591862953</v>
      </c>
      <c r="O37" s="25">
        <f t="shared" si="11"/>
        <v>-44.626717303600614</v>
      </c>
      <c r="P37" s="25">
        <f t="shared" si="12"/>
        <v>5163188.5345917828</v>
      </c>
      <c r="Q37" s="25">
        <f t="shared" si="13"/>
        <v>-2305728.602925133</v>
      </c>
      <c r="R37" s="25">
        <f t="shared" si="1"/>
        <v>57.166049666971119</v>
      </c>
      <c r="S37" s="25">
        <f t="shared" si="2"/>
        <v>-36.963188108995823</v>
      </c>
      <c r="T37" s="35">
        <v>51667</v>
      </c>
      <c r="U37" s="26">
        <f t="shared" si="3"/>
        <v>2953598.2881433968</v>
      </c>
      <c r="V37" s="26">
        <f t="shared" si="4"/>
        <v>-1909777.0400274871</v>
      </c>
      <c r="W37" s="17"/>
      <c r="X37" s="18"/>
    </row>
    <row r="38" spans="1:24" x14ac:dyDescent="0.15">
      <c r="A38">
        <f t="shared" si="5"/>
        <v>30</v>
      </c>
      <c r="B38" s="19"/>
      <c r="C38" s="6">
        <v>0.19617443300110399</v>
      </c>
      <c r="D38" s="13"/>
      <c r="E38" s="29">
        <f t="shared" si="6"/>
        <v>2.75</v>
      </c>
      <c r="F38" s="28">
        <f t="shared" si="0"/>
        <v>0</v>
      </c>
      <c r="G38" s="1">
        <v>33</v>
      </c>
      <c r="H38" s="21">
        <v>46997</v>
      </c>
      <c r="I38" s="16">
        <v>41.75</v>
      </c>
      <c r="J38" s="25">
        <f t="shared" si="14"/>
        <v>18.555964975263155</v>
      </c>
      <c r="K38" s="25">
        <f t="shared" si="7"/>
        <v>23.187989894456447</v>
      </c>
      <c r="L38" s="25">
        <f t="shared" si="8"/>
        <v>67.621928225092745</v>
      </c>
      <c r="M38" s="25">
        <f t="shared" si="9"/>
        <v>84.502023495809723</v>
      </c>
      <c r="N38" s="25">
        <f t="shared" si="10"/>
        <v>42.752023495809723</v>
      </c>
      <c r="O38" s="25">
        <f t="shared" si="11"/>
        <v>-23.194035024736845</v>
      </c>
      <c r="P38" s="25">
        <f t="shared" si="12"/>
        <v>1440572.1837148045</v>
      </c>
      <c r="Q38" s="25">
        <f t="shared" si="13"/>
        <v>-781546.2041935327</v>
      </c>
      <c r="R38" s="25">
        <f t="shared" si="1"/>
        <v>25.871928225092745</v>
      </c>
      <c r="S38" s="25">
        <f t="shared" ref="S38:S69" si="15">K38-I38</f>
        <v>-18.562010105543553</v>
      </c>
      <c r="T38" s="35">
        <v>33696</v>
      </c>
      <c r="U38" s="26">
        <f t="shared" si="3"/>
        <v>871780.49347272515</v>
      </c>
      <c r="V38" s="26">
        <f t="shared" si="4"/>
        <v>-625465.49251639552</v>
      </c>
      <c r="W38" s="17"/>
      <c r="X38" s="18"/>
    </row>
    <row r="39" spans="1:24" x14ac:dyDescent="0.15">
      <c r="A39">
        <f t="shared" si="5"/>
        <v>31</v>
      </c>
      <c r="B39" s="19"/>
      <c r="C39" s="6">
        <v>0.30265774590508798</v>
      </c>
      <c r="D39" s="13"/>
      <c r="E39" s="29">
        <f t="shared" si="6"/>
        <v>2.8333333333333335</v>
      </c>
      <c r="F39" s="28">
        <f t="shared" si="0"/>
        <v>0</v>
      </c>
      <c r="G39" s="1">
        <v>34</v>
      </c>
      <c r="H39" s="21">
        <v>47027</v>
      </c>
      <c r="I39" s="16">
        <v>41.75</v>
      </c>
      <c r="J39" s="25">
        <f t="shared" si="14"/>
        <v>11.188812819651096</v>
      </c>
      <c r="K39" s="25">
        <f t="shared" si="7"/>
        <v>15.861375184251903</v>
      </c>
      <c r="L39" s="25">
        <f t="shared" si="8"/>
        <v>84.772720669650724</v>
      </c>
      <c r="M39" s="25">
        <f t="shared" si="9"/>
        <v>120.17467354262578</v>
      </c>
      <c r="N39" s="25">
        <f t="shared" si="10"/>
        <v>78.424673542625783</v>
      </c>
      <c r="O39" s="25">
        <f t="shared" si="11"/>
        <v>-30.561187180348902</v>
      </c>
      <c r="P39" s="25">
        <f t="shared" si="12"/>
        <v>2906888.949530967</v>
      </c>
      <c r="Q39" s="25">
        <f t="shared" si="13"/>
        <v>-1132780.9640268125</v>
      </c>
      <c r="R39" s="25">
        <f t="shared" si="1"/>
        <v>43.022720669650724</v>
      </c>
      <c r="S39" s="25">
        <f t="shared" si="15"/>
        <v>-25.888624815748095</v>
      </c>
      <c r="T39" s="35">
        <v>37066</v>
      </c>
      <c r="U39" s="26">
        <f t="shared" si="3"/>
        <v>1594680.1643412737</v>
      </c>
      <c r="V39" s="26">
        <f t="shared" si="4"/>
        <v>-959587.76742051891</v>
      </c>
      <c r="W39" s="17"/>
      <c r="X39" s="18"/>
    </row>
    <row r="40" spans="1:24" x14ac:dyDescent="0.15">
      <c r="A40">
        <f t="shared" si="5"/>
        <v>30</v>
      </c>
      <c r="B40" s="19"/>
      <c r="C40" s="6">
        <v>0.31461120640985502</v>
      </c>
      <c r="D40" s="13"/>
      <c r="E40" s="29">
        <f t="shared" si="6"/>
        <v>2.9166666666666665</v>
      </c>
      <c r="F40" s="28">
        <f t="shared" si="0"/>
        <v>0</v>
      </c>
      <c r="G40" s="1">
        <v>35</v>
      </c>
      <c r="H40" s="21">
        <v>47058</v>
      </c>
      <c r="I40" s="16">
        <v>57</v>
      </c>
      <c r="J40" s="25">
        <f t="shared" si="14"/>
        <v>14.108733096000739</v>
      </c>
      <c r="K40" s="25">
        <f t="shared" si="7"/>
        <v>20.385933056317189</v>
      </c>
      <c r="L40" s="25">
        <f t="shared" si="8"/>
        <v>119.41026228756259</v>
      </c>
      <c r="M40" s="25">
        <f t="shared" si="9"/>
        <v>172.5377889472976</v>
      </c>
      <c r="N40" s="25">
        <f t="shared" si="10"/>
        <v>115.5377889472976</v>
      </c>
      <c r="O40" s="25">
        <f t="shared" si="11"/>
        <v>-42.891266903999259</v>
      </c>
      <c r="P40" s="25">
        <f t="shared" si="12"/>
        <v>5450379.6557998173</v>
      </c>
      <c r="Q40" s="25">
        <f t="shared" si="13"/>
        <v>-2023352.6249292612</v>
      </c>
      <c r="R40" s="25">
        <f t="shared" si="1"/>
        <v>62.410262287562588</v>
      </c>
      <c r="S40" s="25">
        <f t="shared" si="15"/>
        <v>-36.614066943682815</v>
      </c>
      <c r="T40" s="35">
        <v>47174</v>
      </c>
      <c r="U40" s="26">
        <f t="shared" si="3"/>
        <v>2944141.7131534778</v>
      </c>
      <c r="V40" s="26">
        <f t="shared" si="4"/>
        <v>-1727231.9940012931</v>
      </c>
      <c r="W40" s="17"/>
      <c r="X40" s="18"/>
    </row>
    <row r="41" spans="1:24" x14ac:dyDescent="0.15">
      <c r="A41">
        <f t="shared" si="5"/>
        <v>31</v>
      </c>
      <c r="B41" s="19"/>
      <c r="C41" s="6">
        <v>0.21848330636260899</v>
      </c>
      <c r="D41" s="13"/>
      <c r="E41" s="29">
        <f t="shared" si="6"/>
        <v>3</v>
      </c>
      <c r="F41" s="28">
        <f t="shared" si="0"/>
        <v>0</v>
      </c>
      <c r="G41" s="1">
        <v>36</v>
      </c>
      <c r="H41" s="21">
        <v>47088</v>
      </c>
      <c r="I41" s="16">
        <v>92.5</v>
      </c>
      <c r="J41" s="25">
        <f t="shared" si="14"/>
        <v>35.654588759868652</v>
      </c>
      <c r="K41" s="25">
        <f t="shared" si="7"/>
        <v>46.205480832682767</v>
      </c>
      <c r="L41" s="25">
        <f t="shared" si="8"/>
        <v>160.47112177822407</v>
      </c>
      <c r="M41" s="25">
        <f t="shared" si="9"/>
        <v>207.95767387642562</v>
      </c>
      <c r="N41" s="25">
        <f t="shared" si="10"/>
        <v>115.45767387642562</v>
      </c>
      <c r="O41" s="25">
        <f t="shared" si="11"/>
        <v>-56.845411240131348</v>
      </c>
      <c r="P41" s="25">
        <f t="shared" si="12"/>
        <v>5187282.3719200501</v>
      </c>
      <c r="Q41" s="25">
        <f t="shared" si="13"/>
        <v>-2553950.6361966212</v>
      </c>
      <c r="R41" s="25">
        <f t="shared" si="1"/>
        <v>67.971121778224074</v>
      </c>
      <c r="S41" s="25">
        <f t="shared" si="15"/>
        <v>-46.294519167317233</v>
      </c>
      <c r="T41" s="35">
        <v>44928</v>
      </c>
      <c r="U41" s="26">
        <f t="shared" si="3"/>
        <v>3053806.5592520512</v>
      </c>
      <c r="V41" s="26">
        <f t="shared" si="4"/>
        <v>-2079920.1571492287</v>
      </c>
      <c r="W41" s="17"/>
      <c r="X41" s="17"/>
    </row>
    <row r="42" spans="1:24" x14ac:dyDescent="0.15">
      <c r="A42">
        <f t="shared" si="5"/>
        <v>31</v>
      </c>
      <c r="C42" s="13">
        <v>0.32616756564521399</v>
      </c>
      <c r="D42" s="13"/>
      <c r="E42" s="29">
        <f t="shared" ref="E42:E89" si="16">G42/12</f>
        <v>3.0833333333333335</v>
      </c>
      <c r="F42" s="28">
        <f t="shared" si="0"/>
        <v>0</v>
      </c>
      <c r="G42" s="1">
        <v>37</v>
      </c>
      <c r="H42" s="21">
        <v>47119</v>
      </c>
      <c r="I42" s="16">
        <v>145.25</v>
      </c>
      <c r="J42" s="16"/>
      <c r="K42" s="25">
        <f t="shared" si="7"/>
        <v>48.052903671701863</v>
      </c>
      <c r="L42" s="25">
        <f t="shared" si="8"/>
        <v>316.26768042183761</v>
      </c>
      <c r="M42" s="16"/>
      <c r="N42" s="16">
        <f t="shared" si="10"/>
        <v>-145.25</v>
      </c>
      <c r="O42" s="16"/>
      <c r="P42" s="25">
        <f t="shared" si="12"/>
        <v>-7178400.25</v>
      </c>
      <c r="Q42" s="25">
        <f t="shared" si="13"/>
        <v>0</v>
      </c>
      <c r="R42" s="25">
        <f t="shared" si="1"/>
        <v>171.01768042183761</v>
      </c>
      <c r="S42" s="16">
        <f t="shared" si="15"/>
        <v>-97.19709632829813</v>
      </c>
      <c r="T42" s="35">
        <v>49421</v>
      </c>
      <c r="U42" s="26">
        <f t="shared" ref="U42:U89" si="17">R42*T42</f>
        <v>8451864.7841276359</v>
      </c>
      <c r="V42" s="26">
        <f t="shared" ref="V42:V89" si="18">S42*T42</f>
        <v>-4803577.6976408223</v>
      </c>
      <c r="W42" s="17"/>
      <c r="X42" s="17"/>
    </row>
    <row r="43" spans="1:24" x14ac:dyDescent="0.15">
      <c r="A43">
        <f t="shared" si="5"/>
        <v>28</v>
      </c>
      <c r="C43" s="13">
        <v>0.44391389509761298</v>
      </c>
      <c r="D43" s="13"/>
      <c r="E43" s="29">
        <f t="shared" si="16"/>
        <v>3.1666666666666665</v>
      </c>
      <c r="F43" s="28">
        <f t="shared" si="0"/>
        <v>0</v>
      </c>
      <c r="G43" s="1">
        <v>38</v>
      </c>
      <c r="H43" s="21">
        <v>47150</v>
      </c>
      <c r="I43" s="16">
        <v>126.25</v>
      </c>
      <c r="J43" s="16"/>
      <c r="K43" s="25">
        <f t="shared" si="7"/>
        <v>25.198499247673428</v>
      </c>
      <c r="L43" s="25">
        <f t="shared" si="8"/>
        <v>338.90566717567197</v>
      </c>
      <c r="M43" s="16"/>
      <c r="N43" s="16">
        <f t="shared" si="10"/>
        <v>-126.25</v>
      </c>
      <c r="O43" s="16"/>
      <c r="P43" s="25">
        <f t="shared" si="12"/>
        <v>-5672160</v>
      </c>
      <c r="Q43" s="25">
        <f t="shared" si="13"/>
        <v>0</v>
      </c>
      <c r="R43" s="25">
        <f t="shared" si="1"/>
        <v>212.65566717567197</v>
      </c>
      <c r="S43" s="16">
        <f t="shared" si="15"/>
        <v>-101.05150075232658</v>
      </c>
      <c r="T43" s="35">
        <v>44928</v>
      </c>
      <c r="U43" s="26">
        <f t="shared" si="17"/>
        <v>9554193.8148685899</v>
      </c>
      <c r="V43" s="26">
        <f t="shared" si="18"/>
        <v>-4540041.8258005287</v>
      </c>
      <c r="W43" s="17"/>
      <c r="X43" s="17"/>
    </row>
    <row r="44" spans="1:24" x14ac:dyDescent="0.15">
      <c r="A44">
        <f t="shared" si="5"/>
        <v>31</v>
      </c>
      <c r="C44" s="13">
        <v>0.25952904040459301</v>
      </c>
      <c r="D44" s="13"/>
      <c r="E44" s="29">
        <f t="shared" si="16"/>
        <v>3.25</v>
      </c>
      <c r="F44" s="28">
        <f t="shared" si="0"/>
        <v>0</v>
      </c>
      <c r="G44" s="1">
        <v>39</v>
      </c>
      <c r="H44" s="21">
        <v>47178</v>
      </c>
      <c r="I44" s="16">
        <v>66.25</v>
      </c>
      <c r="J44" s="16"/>
      <c r="K44" s="25">
        <f t="shared" si="7"/>
        <v>27.504031302979126</v>
      </c>
      <c r="L44" s="25">
        <f t="shared" si="8"/>
        <v>128.20538442824358</v>
      </c>
      <c r="M44" s="16"/>
      <c r="N44" s="16">
        <f t="shared" si="10"/>
        <v>-66.25</v>
      </c>
      <c r="O44" s="16"/>
      <c r="P44" s="25">
        <f t="shared" si="12"/>
        <v>-3274141.25</v>
      </c>
      <c r="Q44" s="25">
        <f t="shared" si="13"/>
        <v>0</v>
      </c>
      <c r="R44" s="25">
        <f t="shared" si="1"/>
        <v>61.955384428243576</v>
      </c>
      <c r="S44" s="16">
        <f t="shared" si="15"/>
        <v>-38.745968697020871</v>
      </c>
      <c r="T44" s="35">
        <v>49421</v>
      </c>
      <c r="U44" s="26">
        <f t="shared" si="17"/>
        <v>3061897.0538282259</v>
      </c>
      <c r="V44" s="26">
        <f t="shared" si="18"/>
        <v>-1914864.5189754684</v>
      </c>
      <c r="W44" s="17"/>
      <c r="X44" s="17"/>
    </row>
    <row r="45" spans="1:24" x14ac:dyDescent="0.15">
      <c r="A45">
        <f t="shared" si="5"/>
        <v>30</v>
      </c>
      <c r="C45" s="13">
        <v>0.187090685874919</v>
      </c>
      <c r="D45" s="13"/>
      <c r="E45" s="29">
        <f t="shared" si="16"/>
        <v>3.3333333333333335</v>
      </c>
      <c r="F45" s="28">
        <f t="shared" si="0"/>
        <v>0</v>
      </c>
      <c r="G45" s="1">
        <v>40</v>
      </c>
      <c r="H45" s="21">
        <v>47209</v>
      </c>
      <c r="I45" s="16">
        <v>44</v>
      </c>
      <c r="J45" s="16"/>
      <c r="K45" s="25">
        <f t="shared" si="7"/>
        <v>23.663966333014905</v>
      </c>
      <c r="L45" s="25">
        <f t="shared" si="8"/>
        <v>72.802432548652035</v>
      </c>
      <c r="M45" s="16"/>
      <c r="N45" s="16">
        <f t="shared" si="10"/>
        <v>-44</v>
      </c>
      <c r="O45" s="16"/>
      <c r="P45" s="25">
        <f t="shared" si="12"/>
        <v>-1556764</v>
      </c>
      <c r="Q45" s="25">
        <f t="shared" si="13"/>
        <v>0</v>
      </c>
      <c r="R45" s="25">
        <f t="shared" si="1"/>
        <v>28.802432548652035</v>
      </c>
      <c r="S45" s="16">
        <f t="shared" si="15"/>
        <v>-20.336033666985095</v>
      </c>
      <c r="T45" s="35">
        <v>35381</v>
      </c>
      <c r="U45" s="26">
        <f t="shared" si="17"/>
        <v>1019058.8660038577</v>
      </c>
      <c r="V45" s="26">
        <f t="shared" si="18"/>
        <v>-719509.20717159961</v>
      </c>
      <c r="W45" s="17"/>
      <c r="X45" s="17"/>
    </row>
    <row r="46" spans="1:24" x14ac:dyDescent="0.15">
      <c r="A46">
        <f t="shared" si="5"/>
        <v>31</v>
      </c>
      <c r="C46" s="13">
        <v>0.34922078171487703</v>
      </c>
      <c r="D46" s="13"/>
      <c r="E46" s="29">
        <f t="shared" si="16"/>
        <v>3.4166666666666665</v>
      </c>
      <c r="F46" s="28">
        <f t="shared" si="0"/>
        <v>0</v>
      </c>
      <c r="G46" s="1">
        <v>41</v>
      </c>
      <c r="H46" s="21">
        <v>47239</v>
      </c>
      <c r="I46" s="16">
        <v>37.5</v>
      </c>
      <c r="J46" s="16"/>
      <c r="K46" s="25">
        <f t="shared" si="7"/>
        <v>10.529078526403516</v>
      </c>
      <c r="L46" s="25">
        <f t="shared" si="8"/>
        <v>88.046135328492014</v>
      </c>
      <c r="M46" s="16"/>
      <c r="N46" s="16">
        <f t="shared" si="10"/>
        <v>-37.5</v>
      </c>
      <c r="O46" s="16"/>
      <c r="P46" s="25">
        <f t="shared" si="12"/>
        <v>-1389975</v>
      </c>
      <c r="Q46" s="25">
        <f t="shared" si="13"/>
        <v>0</v>
      </c>
      <c r="R46" s="25">
        <f t="shared" si="1"/>
        <v>50.546135328492014</v>
      </c>
      <c r="S46" s="16">
        <f t="shared" si="15"/>
        <v>-26.970921473596484</v>
      </c>
      <c r="T46" s="35">
        <v>37066</v>
      </c>
      <c r="U46" s="26">
        <f t="shared" si="17"/>
        <v>1873543.0520858851</v>
      </c>
      <c r="V46" s="26">
        <f t="shared" si="18"/>
        <v>-999704.1753403272</v>
      </c>
      <c r="W46" s="17"/>
      <c r="X46" s="17"/>
    </row>
    <row r="47" spans="1:24" x14ac:dyDescent="0.15">
      <c r="A47">
        <f t="shared" si="5"/>
        <v>30</v>
      </c>
      <c r="C47" s="13">
        <v>0.20206198040277801</v>
      </c>
      <c r="D47" s="13"/>
      <c r="E47" s="29">
        <f t="shared" si="16"/>
        <v>3.5</v>
      </c>
      <c r="F47" s="28">
        <f t="shared" si="0"/>
        <v>0</v>
      </c>
      <c r="G47" s="1">
        <v>42</v>
      </c>
      <c r="H47" s="21">
        <v>47270</v>
      </c>
      <c r="I47" s="16">
        <v>49.25</v>
      </c>
      <c r="J47" s="16"/>
      <c r="K47" s="25">
        <f t="shared" si="7"/>
        <v>24.62125584802849</v>
      </c>
      <c r="L47" s="25">
        <f t="shared" si="8"/>
        <v>85.396656825329998</v>
      </c>
      <c r="M47" s="16"/>
      <c r="N47" s="16">
        <f t="shared" si="10"/>
        <v>-49.25</v>
      </c>
      <c r="O47" s="16"/>
      <c r="P47" s="25">
        <f t="shared" si="12"/>
        <v>-2323319.5</v>
      </c>
      <c r="Q47" s="25">
        <f t="shared" si="13"/>
        <v>0</v>
      </c>
      <c r="R47" s="25">
        <f t="shared" si="1"/>
        <v>36.146656825329998</v>
      </c>
      <c r="S47" s="16">
        <f t="shared" si="15"/>
        <v>-24.62874415197151</v>
      </c>
      <c r="T47" s="35">
        <v>47174</v>
      </c>
      <c r="U47" s="26">
        <f t="shared" si="17"/>
        <v>1705182.3890781174</v>
      </c>
      <c r="V47" s="26">
        <f t="shared" si="18"/>
        <v>-1161836.3766251041</v>
      </c>
      <c r="W47" s="17"/>
      <c r="X47" s="17"/>
    </row>
    <row r="48" spans="1:24" x14ac:dyDescent="0.15">
      <c r="A48">
        <f t="shared" si="5"/>
        <v>31</v>
      </c>
      <c r="C48" s="13">
        <v>0.20812526146750199</v>
      </c>
      <c r="D48" s="13"/>
      <c r="E48" s="29">
        <f t="shared" si="16"/>
        <v>3.5833333333333335</v>
      </c>
      <c r="F48" s="28">
        <f t="shared" si="0"/>
        <v>0</v>
      </c>
      <c r="G48" s="1">
        <v>43</v>
      </c>
      <c r="H48" s="21">
        <v>47300</v>
      </c>
      <c r="I48" s="16">
        <v>83.5</v>
      </c>
      <c r="J48" s="16"/>
      <c r="K48" s="25">
        <f t="shared" si="7"/>
        <v>40.412942515694418</v>
      </c>
      <c r="L48" s="25">
        <f t="shared" si="8"/>
        <v>147.7212509152817</v>
      </c>
      <c r="M48" s="16"/>
      <c r="N48" s="16">
        <f t="shared" si="10"/>
        <v>-83.5</v>
      </c>
      <c r="O48" s="16"/>
      <c r="P48" s="25">
        <f t="shared" si="12"/>
        <v>-3939029</v>
      </c>
      <c r="Q48" s="25">
        <f t="shared" si="13"/>
        <v>0</v>
      </c>
      <c r="R48" s="25">
        <f t="shared" si="1"/>
        <v>64.221250915281701</v>
      </c>
      <c r="S48" s="16">
        <f t="shared" si="15"/>
        <v>-43.087057484305582</v>
      </c>
      <c r="T48" s="35">
        <v>47174</v>
      </c>
      <c r="U48" s="26">
        <f t="shared" si="17"/>
        <v>3029573.290677499</v>
      </c>
      <c r="V48" s="26">
        <f t="shared" si="18"/>
        <v>-2032588.8497646316</v>
      </c>
      <c r="W48" s="17"/>
      <c r="X48" s="17"/>
    </row>
    <row r="49" spans="1:24" x14ac:dyDescent="0.15">
      <c r="A49">
        <f t="shared" si="5"/>
        <v>31</v>
      </c>
      <c r="C49" s="13">
        <v>0.27200637383052401</v>
      </c>
      <c r="D49" s="13"/>
      <c r="E49" s="29">
        <f t="shared" si="16"/>
        <v>3.6666666666666665</v>
      </c>
      <c r="F49" s="28">
        <f t="shared" si="0"/>
        <v>0</v>
      </c>
      <c r="G49" s="1">
        <v>44</v>
      </c>
      <c r="H49" s="21">
        <v>47331</v>
      </c>
      <c r="I49" s="16">
        <v>65.099999999999994</v>
      </c>
      <c r="J49" s="16"/>
      <c r="K49" s="25">
        <f t="shared" si="7"/>
        <v>24.130543703143143</v>
      </c>
      <c r="L49" s="25">
        <f t="shared" si="8"/>
        <v>133.89866818606816</v>
      </c>
      <c r="M49" s="16"/>
      <c r="N49" s="16">
        <f t="shared" si="10"/>
        <v>-65.099999999999994</v>
      </c>
      <c r="O49" s="16"/>
      <c r="P49" s="25">
        <f t="shared" si="12"/>
        <v>-3363521.6999999997</v>
      </c>
      <c r="Q49" s="25">
        <f t="shared" si="13"/>
        <v>0</v>
      </c>
      <c r="R49" s="25">
        <f t="shared" si="1"/>
        <v>68.79866818606817</v>
      </c>
      <c r="S49" s="16">
        <f t="shared" si="15"/>
        <v>-40.969456296856848</v>
      </c>
      <c r="T49" s="35">
        <v>51667</v>
      </c>
      <c r="U49" s="26">
        <f t="shared" si="17"/>
        <v>3554620.7891695839</v>
      </c>
      <c r="V49" s="26">
        <f t="shared" si="18"/>
        <v>-2116768.898489703</v>
      </c>
      <c r="W49" s="17"/>
      <c r="X49" s="17"/>
    </row>
    <row r="50" spans="1:24" x14ac:dyDescent="0.15">
      <c r="A50">
        <f t="shared" si="5"/>
        <v>30</v>
      </c>
      <c r="C50" s="13">
        <v>0.20478206013491301</v>
      </c>
      <c r="D50" s="13"/>
      <c r="E50" s="29">
        <f t="shared" si="16"/>
        <v>3.75</v>
      </c>
      <c r="F50" s="28">
        <f t="shared" si="0"/>
        <v>0</v>
      </c>
      <c r="G50" s="1">
        <v>45</v>
      </c>
      <c r="H50" s="21">
        <v>47362</v>
      </c>
      <c r="I50" s="16">
        <v>40</v>
      </c>
      <c r="J50" s="16"/>
      <c r="K50" s="25">
        <f t="shared" si="7"/>
        <v>19.257698070893728</v>
      </c>
      <c r="L50" s="25">
        <f t="shared" si="8"/>
        <v>70.993560949169208</v>
      </c>
      <c r="M50" s="16"/>
      <c r="N50" s="16">
        <f t="shared" si="10"/>
        <v>-40</v>
      </c>
      <c r="O50" s="16"/>
      <c r="P50" s="25">
        <f t="shared" si="12"/>
        <v>-1280440</v>
      </c>
      <c r="Q50" s="25">
        <f t="shared" si="13"/>
        <v>0</v>
      </c>
      <c r="R50" s="25">
        <f t="shared" si="1"/>
        <v>30.993560949169208</v>
      </c>
      <c r="S50" s="16">
        <f t="shared" si="15"/>
        <v>-20.742301929106272</v>
      </c>
      <c r="T50" s="35">
        <v>32011</v>
      </c>
      <c r="U50" s="26">
        <f t="shared" si="17"/>
        <v>992134.87954385555</v>
      </c>
      <c r="V50" s="26">
        <f t="shared" si="18"/>
        <v>-663981.82705262094</v>
      </c>
      <c r="W50" s="17"/>
      <c r="X50" s="17"/>
    </row>
    <row r="51" spans="1:24" x14ac:dyDescent="0.15">
      <c r="A51">
        <f t="shared" si="5"/>
        <v>31</v>
      </c>
      <c r="C51" s="13">
        <v>0.31545939835842501</v>
      </c>
      <c r="D51" s="13"/>
      <c r="E51" s="29">
        <f t="shared" si="16"/>
        <v>3.8333333333333335</v>
      </c>
      <c r="F51" s="28">
        <f t="shared" si="0"/>
        <v>0</v>
      </c>
      <c r="G51" s="1">
        <v>46</v>
      </c>
      <c r="H51" s="21">
        <v>47392</v>
      </c>
      <c r="I51" s="16">
        <v>40</v>
      </c>
      <c r="J51" s="16"/>
      <c r="K51" s="25">
        <f t="shared" si="7"/>
        <v>11.966772094777953</v>
      </c>
      <c r="L51" s="25">
        <f t="shared" si="8"/>
        <v>91.300141299872521</v>
      </c>
      <c r="M51" s="16"/>
      <c r="N51" s="16">
        <f t="shared" si="10"/>
        <v>-40</v>
      </c>
      <c r="O51" s="16"/>
      <c r="P51" s="25">
        <f t="shared" si="12"/>
        <v>-1550000</v>
      </c>
      <c r="Q51" s="25">
        <f t="shared" si="13"/>
        <v>0</v>
      </c>
      <c r="R51" s="25">
        <f t="shared" si="1"/>
        <v>51.300141299872521</v>
      </c>
      <c r="S51" s="16">
        <f t="shared" si="15"/>
        <v>-28.033227905222049</v>
      </c>
      <c r="T51" s="35">
        <v>38750</v>
      </c>
      <c r="U51" s="26">
        <f t="shared" si="17"/>
        <v>1987880.4753700602</v>
      </c>
      <c r="V51" s="26">
        <f t="shared" si="18"/>
        <v>-1086287.5813273543</v>
      </c>
      <c r="W51" s="17"/>
      <c r="X51" s="17"/>
    </row>
    <row r="52" spans="1:24" x14ac:dyDescent="0.15">
      <c r="A52">
        <f t="shared" si="5"/>
        <v>30</v>
      </c>
      <c r="C52" s="13">
        <v>0.32441559252968599</v>
      </c>
      <c r="D52" s="13"/>
      <c r="E52" s="29">
        <f t="shared" si="16"/>
        <v>3.9166666666666665</v>
      </c>
      <c r="F52" s="28">
        <f t="shared" si="0"/>
        <v>0</v>
      </c>
      <c r="G52" s="1">
        <v>47</v>
      </c>
      <c r="H52" s="21">
        <v>47423</v>
      </c>
      <c r="I52" s="16">
        <v>55.25</v>
      </c>
      <c r="J52" s="16"/>
      <c r="K52" s="25">
        <f t="shared" si="7"/>
        <v>15.636560997861407</v>
      </c>
      <c r="L52" s="25">
        <f t="shared" si="8"/>
        <v>129.27131394474827</v>
      </c>
      <c r="M52" s="16"/>
      <c r="N52" s="16">
        <f t="shared" si="10"/>
        <v>-55.25</v>
      </c>
      <c r="O52" s="16"/>
      <c r="P52" s="25">
        <f t="shared" si="12"/>
        <v>-2606363.5</v>
      </c>
      <c r="Q52" s="25">
        <f t="shared" si="13"/>
        <v>0</v>
      </c>
      <c r="R52" s="25">
        <f t="shared" si="1"/>
        <v>74.021313944748272</v>
      </c>
      <c r="S52" s="16">
        <f t="shared" si="15"/>
        <v>-39.613439002138591</v>
      </c>
      <c r="T52" s="35">
        <v>47174</v>
      </c>
      <c r="U52" s="26">
        <f t="shared" si="17"/>
        <v>3491881.4640295547</v>
      </c>
      <c r="V52" s="26">
        <f t="shared" si="18"/>
        <v>-1868724.3714868859</v>
      </c>
      <c r="W52" s="17"/>
      <c r="X52" s="17"/>
    </row>
    <row r="53" spans="1:24" x14ac:dyDescent="0.15">
      <c r="A53">
        <f t="shared" si="5"/>
        <v>31</v>
      </c>
      <c r="C53" s="13">
        <v>0.22277103390997099</v>
      </c>
      <c r="D53" s="13"/>
      <c r="E53" s="29">
        <f t="shared" si="16"/>
        <v>4</v>
      </c>
      <c r="F53" s="28">
        <f t="shared" si="0"/>
        <v>0</v>
      </c>
      <c r="G53" s="1">
        <v>48</v>
      </c>
      <c r="H53" s="21">
        <v>47453</v>
      </c>
      <c r="I53" s="16">
        <v>90.75</v>
      </c>
      <c r="J53" s="16"/>
      <c r="K53" s="25">
        <f t="shared" si="7"/>
        <v>39.48567328551983</v>
      </c>
      <c r="L53" s="25">
        <f t="shared" si="8"/>
        <v>171.01842643209378</v>
      </c>
      <c r="M53" s="16"/>
      <c r="N53" s="16">
        <f t="shared" si="10"/>
        <v>-90.75</v>
      </c>
      <c r="O53" s="16"/>
      <c r="P53" s="25">
        <f t="shared" si="12"/>
        <v>-4077216</v>
      </c>
      <c r="Q53" s="25">
        <f t="shared" si="13"/>
        <v>0</v>
      </c>
      <c r="R53" s="25">
        <f t="shared" si="1"/>
        <v>80.268426432093776</v>
      </c>
      <c r="S53" s="16">
        <f t="shared" si="15"/>
        <v>-51.26432671448017</v>
      </c>
      <c r="T53" s="35">
        <v>44928</v>
      </c>
      <c r="U53" s="26">
        <f t="shared" si="17"/>
        <v>3606299.862741109</v>
      </c>
      <c r="V53" s="26">
        <f t="shared" si="18"/>
        <v>-2303203.6706281649</v>
      </c>
      <c r="W53" s="17"/>
      <c r="X53" s="17"/>
    </row>
    <row r="54" spans="1:24" x14ac:dyDescent="0.15">
      <c r="A54">
        <f t="shared" si="5"/>
        <v>31</v>
      </c>
      <c r="C54" s="13">
        <v>0.32858722008401198</v>
      </c>
      <c r="D54" s="13"/>
      <c r="E54" s="29">
        <f t="shared" si="16"/>
        <v>4.083333333333333</v>
      </c>
      <c r="F54" s="28">
        <f t="shared" si="0"/>
        <v>0</v>
      </c>
      <c r="G54" s="1">
        <v>49</v>
      </c>
      <c r="H54" s="21">
        <v>47484</v>
      </c>
      <c r="I54" s="16">
        <v>144.25</v>
      </c>
      <c r="J54" s="16"/>
      <c r="K54" s="25">
        <f t="shared" si="7"/>
        <v>38.816879358891072</v>
      </c>
      <c r="L54" s="25">
        <f t="shared" si="8"/>
        <v>344.93807752282174</v>
      </c>
      <c r="M54" s="16"/>
      <c r="N54" s="16">
        <f t="shared" si="10"/>
        <v>-144.25</v>
      </c>
      <c r="O54" s="16"/>
      <c r="P54" s="25">
        <f t="shared" si="12"/>
        <v>-7128979.25</v>
      </c>
      <c r="Q54" s="25">
        <f t="shared" si="13"/>
        <v>0</v>
      </c>
      <c r="R54" s="25">
        <f t="shared" si="1"/>
        <v>200.68807752282174</v>
      </c>
      <c r="S54" s="16">
        <f t="shared" si="15"/>
        <v>-105.43312064110893</v>
      </c>
      <c r="T54" s="35">
        <v>49421</v>
      </c>
      <c r="U54" s="26">
        <f t="shared" si="17"/>
        <v>9918205.4792553727</v>
      </c>
      <c r="V54" s="26">
        <f t="shared" si="18"/>
        <v>-5210610.2552042445</v>
      </c>
      <c r="W54" s="17"/>
      <c r="X54" s="17"/>
    </row>
    <row r="55" spans="1:24" x14ac:dyDescent="0.15">
      <c r="A55">
        <f t="shared" si="5"/>
        <v>28</v>
      </c>
      <c r="C55" s="13">
        <v>0.44789491535035098</v>
      </c>
      <c r="D55" s="13"/>
      <c r="E55" s="29">
        <f t="shared" si="16"/>
        <v>4.166666666666667</v>
      </c>
      <c r="F55" s="28">
        <f t="shared" si="0"/>
        <v>0</v>
      </c>
      <c r="G55" s="1">
        <v>50</v>
      </c>
      <c r="H55" s="21">
        <v>47515</v>
      </c>
      <c r="I55" s="16">
        <v>125.25</v>
      </c>
      <c r="J55" s="16"/>
      <c r="K55" s="25">
        <f t="shared" si="7"/>
        <v>18.32770956684454</v>
      </c>
      <c r="L55" s="25">
        <f t="shared" si="8"/>
        <v>371.04931736272812</v>
      </c>
      <c r="M55" s="16"/>
      <c r="N55" s="16">
        <f t="shared" si="10"/>
        <v>-125.25</v>
      </c>
      <c r="O55" s="16"/>
      <c r="P55" s="25">
        <f t="shared" si="12"/>
        <v>-5627232</v>
      </c>
      <c r="Q55" s="25">
        <f t="shared" si="13"/>
        <v>0</v>
      </c>
      <c r="R55" s="25">
        <f t="shared" si="1"/>
        <v>245.79931736272812</v>
      </c>
      <c r="S55" s="16">
        <f t="shared" si="15"/>
        <v>-106.92229043315547</v>
      </c>
      <c r="T55" s="35">
        <v>44928</v>
      </c>
      <c r="U55" s="26">
        <f t="shared" si="17"/>
        <v>11043271.730472649</v>
      </c>
      <c r="V55" s="26">
        <f t="shared" si="18"/>
        <v>-4803804.664580809</v>
      </c>
      <c r="W55" s="17"/>
      <c r="X55" s="17"/>
    </row>
    <row r="56" spans="1:24" x14ac:dyDescent="0.15">
      <c r="A56">
        <f t="shared" si="5"/>
        <v>31</v>
      </c>
      <c r="C56" s="13">
        <v>0.26375971098385198</v>
      </c>
      <c r="D56" s="13"/>
      <c r="E56" s="29">
        <f t="shared" si="16"/>
        <v>4.25</v>
      </c>
      <c r="F56" s="28">
        <f t="shared" si="0"/>
        <v>0</v>
      </c>
      <c r="G56" s="1">
        <v>51</v>
      </c>
      <c r="H56" s="21">
        <v>47543</v>
      </c>
      <c r="I56" s="16">
        <v>65.25</v>
      </c>
      <c r="J56" s="16"/>
      <c r="K56" s="25">
        <f t="shared" si="7"/>
        <v>23.009685901097537</v>
      </c>
      <c r="L56" s="25">
        <f t="shared" si="8"/>
        <v>137.67114061140504</v>
      </c>
      <c r="M56" s="16"/>
      <c r="N56" s="16">
        <f t="shared" si="10"/>
        <v>-65.25</v>
      </c>
      <c r="O56" s="16"/>
      <c r="P56" s="25">
        <f t="shared" si="12"/>
        <v>-3078103.5</v>
      </c>
      <c r="Q56" s="25">
        <f t="shared" si="13"/>
        <v>0</v>
      </c>
      <c r="R56" s="25">
        <f t="shared" si="1"/>
        <v>72.421140611405036</v>
      </c>
      <c r="S56" s="16">
        <f t="shared" si="15"/>
        <v>-42.240314098902459</v>
      </c>
      <c r="T56" s="35">
        <v>47174</v>
      </c>
      <c r="U56" s="26">
        <f t="shared" si="17"/>
        <v>3416394.8872024212</v>
      </c>
      <c r="V56" s="26">
        <f t="shared" si="18"/>
        <v>-1992644.5773016247</v>
      </c>
      <c r="W56" s="17"/>
      <c r="X56" s="17"/>
    </row>
    <row r="57" spans="1:24" x14ac:dyDescent="0.15">
      <c r="A57">
        <f t="shared" si="5"/>
        <v>30</v>
      </c>
      <c r="C57" s="13">
        <v>0.19153025705802601</v>
      </c>
      <c r="D57" s="13"/>
      <c r="E57" s="29">
        <f t="shared" si="16"/>
        <v>4.333333333333333</v>
      </c>
      <c r="F57" s="28">
        <f t="shared" si="0"/>
        <v>0</v>
      </c>
      <c r="G57" s="1">
        <v>52</v>
      </c>
      <c r="H57" s="21">
        <v>47574</v>
      </c>
      <c r="I57" s="16">
        <v>43</v>
      </c>
      <c r="J57" s="16"/>
      <c r="K57" s="25">
        <f t="shared" si="7"/>
        <v>20.61159196484509</v>
      </c>
      <c r="L57" s="25">
        <f t="shared" si="8"/>
        <v>76.52238352907159</v>
      </c>
      <c r="M57" s="16"/>
      <c r="N57" s="16">
        <f t="shared" si="10"/>
        <v>-43</v>
      </c>
      <c r="O57" s="16"/>
      <c r="P57" s="25">
        <f t="shared" si="12"/>
        <v>-1593838</v>
      </c>
      <c r="Q57" s="25">
        <f t="shared" si="13"/>
        <v>0</v>
      </c>
      <c r="R57" s="25">
        <f t="shared" si="1"/>
        <v>33.52238352907159</v>
      </c>
      <c r="S57" s="16">
        <f t="shared" si="15"/>
        <v>-22.38840803515491</v>
      </c>
      <c r="T57" s="35">
        <v>37066</v>
      </c>
      <c r="U57" s="26">
        <f t="shared" si="17"/>
        <v>1242540.6678885676</v>
      </c>
      <c r="V57" s="26">
        <f t="shared" si="18"/>
        <v>-829848.73223105189</v>
      </c>
      <c r="W57" s="17"/>
      <c r="X57" s="17"/>
    </row>
    <row r="58" spans="1:24" x14ac:dyDescent="0.15">
      <c r="A58">
        <f t="shared" si="5"/>
        <v>31</v>
      </c>
      <c r="C58" s="13">
        <v>0.35847604983947501</v>
      </c>
      <c r="D58" s="13"/>
      <c r="E58" s="29">
        <f t="shared" si="16"/>
        <v>4.416666666666667</v>
      </c>
      <c r="F58" s="28">
        <f t="shared" si="0"/>
        <v>0</v>
      </c>
      <c r="G58" s="1">
        <v>53</v>
      </c>
      <c r="H58" s="21">
        <v>47604</v>
      </c>
      <c r="I58" s="16">
        <v>36.5</v>
      </c>
      <c r="J58" s="16"/>
      <c r="K58" s="25">
        <f t="shared" si="7"/>
        <v>7.9584879928953765</v>
      </c>
      <c r="L58" s="25">
        <f t="shared" si="8"/>
        <v>94.899780641400099</v>
      </c>
      <c r="M58" s="16"/>
      <c r="N58" s="16">
        <f t="shared" si="10"/>
        <v>-36.5</v>
      </c>
      <c r="O58" s="16"/>
      <c r="P58" s="25">
        <f t="shared" si="12"/>
        <v>-1352909</v>
      </c>
      <c r="Q58" s="25">
        <f t="shared" si="13"/>
        <v>0</v>
      </c>
      <c r="R58" s="25">
        <f t="shared" si="1"/>
        <v>58.399780641400099</v>
      </c>
      <c r="S58" s="16">
        <f t="shared" si="15"/>
        <v>-28.541512007104622</v>
      </c>
      <c r="T58" s="35">
        <v>37066</v>
      </c>
      <c r="U58" s="26">
        <f t="shared" si="17"/>
        <v>2164646.2692541359</v>
      </c>
      <c r="V58" s="26">
        <f t="shared" si="18"/>
        <v>-1057919.68405534</v>
      </c>
      <c r="W58" s="17"/>
      <c r="X58" s="17"/>
    </row>
    <row r="59" spans="1:24" x14ac:dyDescent="0.15">
      <c r="A59">
        <f t="shared" si="5"/>
        <v>30</v>
      </c>
      <c r="C59" s="13">
        <v>0.20640747309935401</v>
      </c>
      <c r="D59" s="13"/>
      <c r="E59" s="29">
        <f t="shared" si="16"/>
        <v>4.5</v>
      </c>
      <c r="F59" s="28">
        <f t="shared" si="0"/>
        <v>0</v>
      </c>
      <c r="G59" s="1">
        <v>54</v>
      </c>
      <c r="H59" s="21">
        <v>47635</v>
      </c>
      <c r="I59" s="16">
        <v>48.25</v>
      </c>
      <c r="J59" s="16"/>
      <c r="K59" s="25">
        <f t="shared" si="7"/>
        <v>21.333166943091118</v>
      </c>
      <c r="L59" s="25">
        <f t="shared" si="8"/>
        <v>90.090115991618759</v>
      </c>
      <c r="M59" s="16"/>
      <c r="N59" s="16">
        <f t="shared" si="10"/>
        <v>-48.25</v>
      </c>
      <c r="O59" s="16"/>
      <c r="P59" s="25">
        <f t="shared" si="12"/>
        <v>-2167776</v>
      </c>
      <c r="Q59" s="25">
        <f t="shared" si="13"/>
        <v>0</v>
      </c>
      <c r="R59" s="25">
        <f t="shared" si="1"/>
        <v>41.840115991618759</v>
      </c>
      <c r="S59" s="16">
        <f t="shared" si="15"/>
        <v>-26.916833056908882</v>
      </c>
      <c r="T59" s="35">
        <v>44928</v>
      </c>
      <c r="U59" s="26">
        <f t="shared" si="17"/>
        <v>1879792.7312714476</v>
      </c>
      <c r="V59" s="26">
        <f t="shared" si="18"/>
        <v>-1209319.4755808022</v>
      </c>
      <c r="W59" s="17"/>
      <c r="X59" s="17"/>
    </row>
    <row r="60" spans="1:24" x14ac:dyDescent="0.15">
      <c r="A60">
        <f t="shared" si="5"/>
        <v>31</v>
      </c>
      <c r="C60" s="13">
        <v>0.21075682458359901</v>
      </c>
      <c r="D60" s="13"/>
      <c r="E60" s="29">
        <f t="shared" si="16"/>
        <v>4.583333333333333</v>
      </c>
      <c r="F60" s="28">
        <f t="shared" si="0"/>
        <v>0</v>
      </c>
      <c r="G60" s="1">
        <v>55</v>
      </c>
      <c r="H60" s="21">
        <v>47665</v>
      </c>
      <c r="I60" s="16">
        <v>82.5</v>
      </c>
      <c r="J60" s="16"/>
      <c r="K60" s="25">
        <f t="shared" si="7"/>
        <v>35.473162902547386</v>
      </c>
      <c r="L60" s="25">
        <f t="shared" si="8"/>
        <v>156.5281143238546</v>
      </c>
      <c r="M60" s="16"/>
      <c r="N60" s="16">
        <f t="shared" si="10"/>
        <v>-82.5</v>
      </c>
      <c r="O60" s="16"/>
      <c r="P60" s="25">
        <f t="shared" si="12"/>
        <v>-4077232.5</v>
      </c>
      <c r="Q60" s="25">
        <f t="shared" si="13"/>
        <v>0</v>
      </c>
      <c r="R60" s="25">
        <f t="shared" si="1"/>
        <v>74.028114323854595</v>
      </c>
      <c r="S60" s="16">
        <f t="shared" si="15"/>
        <v>-47.026837097452614</v>
      </c>
      <c r="T60" s="35">
        <v>49421</v>
      </c>
      <c r="U60" s="26">
        <f t="shared" si="17"/>
        <v>3658543.4379992178</v>
      </c>
      <c r="V60" s="26">
        <f t="shared" si="18"/>
        <v>-2324113.3161932058</v>
      </c>
      <c r="W60" s="17"/>
      <c r="X60" s="17"/>
    </row>
    <row r="61" spans="1:24" x14ac:dyDescent="0.15">
      <c r="A61">
        <f t="shared" si="5"/>
        <v>31</v>
      </c>
      <c r="C61" s="13">
        <v>0.27626370078495099</v>
      </c>
      <c r="D61" s="13"/>
      <c r="E61" s="29">
        <f t="shared" si="16"/>
        <v>4.666666666666667</v>
      </c>
      <c r="F61" s="28">
        <f t="shared" si="0"/>
        <v>0</v>
      </c>
      <c r="G61" s="1">
        <v>56</v>
      </c>
      <c r="H61" s="21">
        <v>47696</v>
      </c>
      <c r="I61" s="16">
        <v>64.099999999999994</v>
      </c>
      <c r="J61" s="16"/>
      <c r="K61" s="25">
        <f t="shared" si="7"/>
        <v>20.098157999141861</v>
      </c>
      <c r="L61" s="25">
        <f t="shared" si="8"/>
        <v>143.17861991182741</v>
      </c>
      <c r="M61" s="16"/>
      <c r="N61" s="16">
        <f t="shared" si="10"/>
        <v>-64.099999999999994</v>
      </c>
      <c r="O61" s="16"/>
      <c r="P61" s="25">
        <f t="shared" si="12"/>
        <v>-3167886.0999999996</v>
      </c>
      <c r="Q61" s="25">
        <f t="shared" si="13"/>
        <v>0</v>
      </c>
      <c r="R61" s="25">
        <f t="shared" si="1"/>
        <v>79.078619911827417</v>
      </c>
      <c r="S61" s="16">
        <f t="shared" si="15"/>
        <v>-44.001842000858133</v>
      </c>
      <c r="T61" s="35">
        <v>49421</v>
      </c>
      <c r="U61" s="26">
        <f t="shared" si="17"/>
        <v>3908144.4746624227</v>
      </c>
      <c r="V61" s="26">
        <f t="shared" si="18"/>
        <v>-2174615.0335244099</v>
      </c>
      <c r="W61" s="17"/>
      <c r="X61" s="17"/>
    </row>
    <row r="62" spans="1:24" x14ac:dyDescent="0.15">
      <c r="A62">
        <f t="shared" si="5"/>
        <v>30</v>
      </c>
      <c r="C62" s="13">
        <v>0.21004932506034199</v>
      </c>
      <c r="D62" s="13"/>
      <c r="E62" s="29">
        <f t="shared" si="16"/>
        <v>4.75</v>
      </c>
      <c r="F62" s="28">
        <f t="shared" si="0"/>
        <v>0</v>
      </c>
      <c r="G62" s="1">
        <v>57</v>
      </c>
      <c r="H62" s="21">
        <v>47727</v>
      </c>
      <c r="I62" s="16">
        <v>39</v>
      </c>
      <c r="J62" s="16"/>
      <c r="K62" s="25">
        <f t="shared" si="7"/>
        <v>16.538769288774013</v>
      </c>
      <c r="L62" s="25">
        <f t="shared" si="8"/>
        <v>74.577779324456856</v>
      </c>
      <c r="M62" s="16"/>
      <c r="N62" s="16">
        <f t="shared" si="10"/>
        <v>-39</v>
      </c>
      <c r="O62" s="16"/>
      <c r="P62" s="25">
        <f t="shared" si="12"/>
        <v>-1314144</v>
      </c>
      <c r="Q62" s="25">
        <f t="shared" si="13"/>
        <v>0</v>
      </c>
      <c r="R62" s="25">
        <f t="shared" si="1"/>
        <v>35.577779324456856</v>
      </c>
      <c r="S62" s="16">
        <f t="shared" si="15"/>
        <v>-22.461230711225987</v>
      </c>
      <c r="T62" s="35">
        <v>33696</v>
      </c>
      <c r="U62" s="26">
        <f t="shared" si="17"/>
        <v>1198828.8521168982</v>
      </c>
      <c r="V62" s="26">
        <f t="shared" si="18"/>
        <v>-756853.6300454709</v>
      </c>
      <c r="W62" s="17"/>
      <c r="X62" s="17"/>
    </row>
    <row r="63" spans="1:24" x14ac:dyDescent="0.15">
      <c r="A63">
        <f t="shared" si="5"/>
        <v>31</v>
      </c>
      <c r="C63" s="13">
        <v>0.32327447549514399</v>
      </c>
      <c r="D63" s="13"/>
      <c r="E63" s="29">
        <f t="shared" si="16"/>
        <v>4.833333333333333</v>
      </c>
      <c r="F63" s="28">
        <f t="shared" si="0"/>
        <v>0</v>
      </c>
      <c r="G63" s="1">
        <v>58</v>
      </c>
      <c r="H63" s="21">
        <v>47757</v>
      </c>
      <c r="I63" s="16">
        <v>39</v>
      </c>
      <c r="J63" s="16"/>
      <c r="K63" s="25">
        <f t="shared" si="7"/>
        <v>9.4110095568778487</v>
      </c>
      <c r="L63" s="25">
        <f t="shared" si="8"/>
        <v>97.52696047123348</v>
      </c>
      <c r="M63" s="16"/>
      <c r="N63" s="16">
        <f t="shared" si="10"/>
        <v>-39</v>
      </c>
      <c r="O63" s="16"/>
      <c r="P63" s="25">
        <f t="shared" si="12"/>
        <v>-1511250</v>
      </c>
      <c r="Q63" s="25">
        <f t="shared" si="13"/>
        <v>0</v>
      </c>
      <c r="R63" s="25">
        <f t="shared" si="1"/>
        <v>58.52696047123348</v>
      </c>
      <c r="S63" s="16">
        <f t="shared" si="15"/>
        <v>-29.58899044312215</v>
      </c>
      <c r="T63" s="35">
        <v>38750</v>
      </c>
      <c r="U63" s="26">
        <f t="shared" si="17"/>
        <v>2267919.7182602976</v>
      </c>
      <c r="V63" s="26">
        <f t="shared" si="18"/>
        <v>-1146573.3796709832</v>
      </c>
      <c r="W63" s="17"/>
      <c r="X63" s="17"/>
    </row>
    <row r="64" spans="1:24" x14ac:dyDescent="0.15">
      <c r="A64">
        <f t="shared" si="5"/>
        <v>30</v>
      </c>
      <c r="C64" s="13">
        <v>0.33029793826201398</v>
      </c>
      <c r="D64" s="13"/>
      <c r="E64" s="29">
        <f t="shared" si="16"/>
        <v>4.916666666666667</v>
      </c>
      <c r="F64" s="28">
        <f t="shared" si="0"/>
        <v>0</v>
      </c>
      <c r="G64" s="1">
        <v>59</v>
      </c>
      <c r="H64" s="21">
        <v>47788</v>
      </c>
      <c r="I64" s="16">
        <v>54.25</v>
      </c>
      <c r="J64" s="16"/>
      <c r="K64" s="25">
        <f t="shared" si="7"/>
        <v>12.436410964356995</v>
      </c>
      <c r="L64" s="25">
        <f t="shared" si="8"/>
        <v>138.40514270215596</v>
      </c>
      <c r="M64" s="16"/>
      <c r="N64" s="16">
        <f t="shared" si="10"/>
        <v>-54.25</v>
      </c>
      <c r="O64" s="16"/>
      <c r="P64" s="25">
        <f t="shared" si="12"/>
        <v>-2437344</v>
      </c>
      <c r="Q64" s="25">
        <f t="shared" si="13"/>
        <v>0</v>
      </c>
      <c r="R64" s="25">
        <f t="shared" si="1"/>
        <v>84.155142702155956</v>
      </c>
      <c r="S64" s="16">
        <f t="shared" si="15"/>
        <v>-41.813589035643005</v>
      </c>
      <c r="T64" s="35">
        <v>44928</v>
      </c>
      <c r="U64" s="26">
        <f t="shared" si="17"/>
        <v>3780922.2513224627</v>
      </c>
      <c r="V64" s="26">
        <f t="shared" si="18"/>
        <v>-1878600.9281933689</v>
      </c>
      <c r="W64" s="17"/>
      <c r="X64" s="17"/>
    </row>
    <row r="65" spans="1:24" x14ac:dyDescent="0.15">
      <c r="A65">
        <f t="shared" si="5"/>
        <v>31</v>
      </c>
      <c r="C65" s="13">
        <v>0.225297601015571</v>
      </c>
      <c r="D65" s="13"/>
      <c r="E65" s="29">
        <f t="shared" si="16"/>
        <v>5</v>
      </c>
      <c r="F65" s="28">
        <f t="shared" si="0"/>
        <v>0</v>
      </c>
      <c r="G65" s="1">
        <v>60</v>
      </c>
      <c r="H65" s="21">
        <v>47818</v>
      </c>
      <c r="I65" s="16">
        <v>89.75</v>
      </c>
      <c r="J65" s="16"/>
      <c r="K65" s="25">
        <f t="shared" si="7"/>
        <v>34.515592185709814</v>
      </c>
      <c r="L65" s="25">
        <f t="shared" si="8"/>
        <v>181.06386969566861</v>
      </c>
      <c r="M65" s="16"/>
      <c r="N65" s="16">
        <f t="shared" si="10"/>
        <v>-89.75</v>
      </c>
      <c r="O65" s="16"/>
      <c r="P65" s="25">
        <f t="shared" si="12"/>
        <v>-4233866.5</v>
      </c>
      <c r="Q65" s="25">
        <f t="shared" si="13"/>
        <v>0</v>
      </c>
      <c r="R65" s="25">
        <f t="shared" si="1"/>
        <v>91.313869695668615</v>
      </c>
      <c r="S65" s="16">
        <f t="shared" si="15"/>
        <v>-55.234407814290186</v>
      </c>
      <c r="T65" s="35">
        <v>47174</v>
      </c>
      <c r="U65" s="26">
        <f t="shared" si="17"/>
        <v>4307640.4890234713</v>
      </c>
      <c r="V65" s="26">
        <f t="shared" si="18"/>
        <v>-2605627.9542313251</v>
      </c>
      <c r="W65" s="17"/>
      <c r="X65" s="17"/>
    </row>
    <row r="66" spans="1:24" x14ac:dyDescent="0.15">
      <c r="A66">
        <f t="shared" si="5"/>
        <v>31</v>
      </c>
      <c r="C66" s="13">
        <v>0.32858722008401198</v>
      </c>
      <c r="D66" s="13"/>
      <c r="E66" s="29">
        <f t="shared" si="16"/>
        <v>5.083333333333333</v>
      </c>
      <c r="F66" s="28">
        <f t="shared" si="0"/>
        <v>0</v>
      </c>
      <c r="G66" s="1">
        <v>61</v>
      </c>
      <c r="H66" s="21">
        <v>47849</v>
      </c>
      <c r="I66" s="16">
        <v>144.25</v>
      </c>
      <c r="J66" s="16"/>
      <c r="K66" s="25">
        <f t="shared" si="7"/>
        <v>32.409187794015061</v>
      </c>
      <c r="L66" s="25">
        <f t="shared" si="8"/>
        <v>370.85404846525472</v>
      </c>
      <c r="M66" s="16"/>
      <c r="N66" s="16">
        <f t="shared" si="10"/>
        <v>-144.25</v>
      </c>
      <c r="O66" s="16"/>
      <c r="P66" s="25">
        <f t="shared" si="12"/>
        <v>-7128979.25</v>
      </c>
      <c r="Q66" s="25">
        <f t="shared" si="13"/>
        <v>0</v>
      </c>
      <c r="R66" s="25">
        <f t="shared" si="1"/>
        <v>226.60404846525472</v>
      </c>
      <c r="S66" s="16">
        <f t="shared" si="15"/>
        <v>-111.84081220598495</v>
      </c>
      <c r="T66" s="35">
        <v>49421</v>
      </c>
      <c r="U66" s="26">
        <f t="shared" si="17"/>
        <v>11198998.679201353</v>
      </c>
      <c r="V66" s="26">
        <f t="shared" si="18"/>
        <v>-5527284.7800319819</v>
      </c>
      <c r="W66" s="17"/>
      <c r="X66" s="17"/>
    </row>
    <row r="67" spans="1:24" x14ac:dyDescent="0.15">
      <c r="A67">
        <f t="shared" si="5"/>
        <v>28</v>
      </c>
      <c r="C67" s="13">
        <v>0.44789491535035098</v>
      </c>
      <c r="D67" s="13"/>
      <c r="E67" s="29">
        <f t="shared" si="16"/>
        <v>5.166666666666667</v>
      </c>
      <c r="F67" s="28">
        <f t="shared" si="0"/>
        <v>0</v>
      </c>
      <c r="G67" s="1">
        <v>62</v>
      </c>
      <c r="H67" s="21">
        <v>47880</v>
      </c>
      <c r="I67" s="16">
        <v>125.25</v>
      </c>
      <c r="J67" s="16"/>
      <c r="K67" s="25">
        <f t="shared" si="7"/>
        <v>13.975840250276425</v>
      </c>
      <c r="L67" s="25">
        <f t="shared" si="8"/>
        <v>398.14214334366619</v>
      </c>
      <c r="M67" s="16"/>
      <c r="N67" s="16">
        <f t="shared" si="10"/>
        <v>-125.25</v>
      </c>
      <c r="O67" s="16"/>
      <c r="P67" s="25">
        <f t="shared" si="12"/>
        <v>-5627232</v>
      </c>
      <c r="Q67" s="25">
        <f t="shared" si="13"/>
        <v>0</v>
      </c>
      <c r="R67" s="25">
        <f t="shared" si="1"/>
        <v>272.89214334366619</v>
      </c>
      <c r="S67" s="16">
        <f t="shared" si="15"/>
        <v>-111.27415974972358</v>
      </c>
      <c r="T67" s="35">
        <v>44928</v>
      </c>
      <c r="U67" s="26">
        <f t="shared" si="17"/>
        <v>12260498.216144234</v>
      </c>
      <c r="V67" s="26">
        <f t="shared" si="18"/>
        <v>-4999325.4492355809</v>
      </c>
      <c r="W67" s="17"/>
      <c r="X67" s="17"/>
    </row>
    <row r="68" spans="1:24" x14ac:dyDescent="0.15">
      <c r="A68">
        <f t="shared" si="5"/>
        <v>31</v>
      </c>
      <c r="C68" s="13">
        <v>0.26375971098385198</v>
      </c>
      <c r="D68" s="13"/>
      <c r="E68" s="29">
        <f t="shared" si="16"/>
        <v>5.25</v>
      </c>
      <c r="F68" s="28">
        <f t="shared" si="0"/>
        <v>0</v>
      </c>
      <c r="G68" s="1">
        <v>63</v>
      </c>
      <c r="H68" s="21">
        <v>47908</v>
      </c>
      <c r="I68" s="16">
        <v>65.25</v>
      </c>
      <c r="J68" s="16"/>
      <c r="K68" s="25">
        <f t="shared" si="7"/>
        <v>20.114725094258695</v>
      </c>
      <c r="L68" s="25">
        <f t="shared" si="8"/>
        <v>146.90141739277902</v>
      </c>
      <c r="M68" s="16"/>
      <c r="N68" s="16">
        <f t="shared" si="10"/>
        <v>-65.25</v>
      </c>
      <c r="O68" s="16"/>
      <c r="P68" s="25">
        <f t="shared" si="12"/>
        <v>-3078103.5</v>
      </c>
      <c r="Q68" s="25">
        <f t="shared" si="13"/>
        <v>0</v>
      </c>
      <c r="R68" s="25">
        <f t="shared" si="1"/>
        <v>81.651417392779024</v>
      </c>
      <c r="S68" s="16">
        <f t="shared" si="15"/>
        <v>-45.135274905741305</v>
      </c>
      <c r="T68" s="35">
        <v>47174</v>
      </c>
      <c r="U68" s="26">
        <f t="shared" si="17"/>
        <v>3851823.9640869577</v>
      </c>
      <c r="V68" s="26">
        <f t="shared" si="18"/>
        <v>-2129211.4584034402</v>
      </c>
      <c r="W68" s="17"/>
      <c r="X68" s="17"/>
    </row>
    <row r="69" spans="1:24" x14ac:dyDescent="0.15">
      <c r="A69">
        <f t="shared" si="5"/>
        <v>30</v>
      </c>
      <c r="C69" s="13">
        <v>0.19153025705802601</v>
      </c>
      <c r="D69" s="13"/>
      <c r="E69" s="29">
        <f t="shared" si="16"/>
        <v>5.333333333333333</v>
      </c>
      <c r="F69" s="28">
        <f t="shared" si="0"/>
        <v>0</v>
      </c>
      <c r="G69" s="1">
        <v>64</v>
      </c>
      <c r="H69" s="21">
        <v>47939</v>
      </c>
      <c r="I69" s="16">
        <v>43</v>
      </c>
      <c r="J69" s="16"/>
      <c r="K69" s="25">
        <f t="shared" si="7"/>
        <v>18.835809992187837</v>
      </c>
      <c r="L69" s="25">
        <f t="shared" si="8"/>
        <v>80.720554321770777</v>
      </c>
      <c r="M69" s="16"/>
      <c r="N69" s="16">
        <f t="shared" si="10"/>
        <v>-43</v>
      </c>
      <c r="O69" s="16"/>
      <c r="P69" s="25">
        <f t="shared" si="12"/>
        <v>-1593838</v>
      </c>
      <c r="Q69" s="25">
        <f t="shared" si="13"/>
        <v>0</v>
      </c>
      <c r="R69" s="25">
        <f t="shared" si="1"/>
        <v>37.720554321770777</v>
      </c>
      <c r="S69" s="16">
        <f t="shared" si="15"/>
        <v>-24.164190007812163</v>
      </c>
      <c r="T69" s="35">
        <v>37066</v>
      </c>
      <c r="U69" s="26">
        <f t="shared" si="17"/>
        <v>1398150.0664907556</v>
      </c>
      <c r="V69" s="26">
        <f t="shared" si="18"/>
        <v>-895669.86682956561</v>
      </c>
      <c r="W69" s="17"/>
      <c r="X69" s="17"/>
    </row>
    <row r="70" spans="1:24" x14ac:dyDescent="0.15">
      <c r="A70">
        <f t="shared" si="5"/>
        <v>31</v>
      </c>
      <c r="C70" s="13">
        <v>0.35847604983947501</v>
      </c>
      <c r="D70" s="13"/>
      <c r="E70" s="29">
        <f t="shared" si="16"/>
        <v>5.416666666666667</v>
      </c>
      <c r="F70" s="28">
        <f t="shared" ref="F70:F89" si="19">$D$2</f>
        <v>0</v>
      </c>
      <c r="G70" s="1">
        <v>65</v>
      </c>
      <c r="H70" s="21">
        <v>47969</v>
      </c>
      <c r="I70" s="16">
        <v>36.5</v>
      </c>
      <c r="J70" s="16"/>
      <c r="K70" s="25">
        <f t="shared" si="7"/>
        <v>6.5328393746456008</v>
      </c>
      <c r="L70" s="25">
        <f t="shared" si="8"/>
        <v>101.66810935516352</v>
      </c>
      <c r="M70" s="16"/>
      <c r="N70" s="16">
        <f t="shared" si="10"/>
        <v>-36.5</v>
      </c>
      <c r="O70" s="16"/>
      <c r="P70" s="25">
        <f t="shared" si="12"/>
        <v>-1291406.5</v>
      </c>
      <c r="Q70" s="25">
        <f t="shared" si="13"/>
        <v>0</v>
      </c>
      <c r="R70" s="25">
        <f t="shared" ref="R70:R89" si="20">L70-I70</f>
        <v>65.168109355163523</v>
      </c>
      <c r="S70" s="16">
        <f t="shared" ref="S70:S84" si="21">K70-I70</f>
        <v>-29.967160625354399</v>
      </c>
      <c r="T70" s="35">
        <v>35381</v>
      </c>
      <c r="U70" s="26">
        <f t="shared" si="17"/>
        <v>2305712.8770950404</v>
      </c>
      <c r="V70" s="26">
        <f t="shared" si="18"/>
        <v>-1060268.1100856641</v>
      </c>
      <c r="W70" s="17"/>
      <c r="X70" s="17"/>
    </row>
    <row r="71" spans="1:24" x14ac:dyDescent="0.15">
      <c r="A71">
        <f t="shared" ref="A71:A84" si="22">DAY(EOMONTH(H71,0))</f>
        <v>30</v>
      </c>
      <c r="C71" s="13">
        <v>0.20640747309935401</v>
      </c>
      <c r="D71" s="13"/>
      <c r="E71" s="29">
        <f t="shared" si="16"/>
        <v>5.5</v>
      </c>
      <c r="F71" s="28">
        <f t="shared" si="19"/>
        <v>0</v>
      </c>
      <c r="G71" s="1">
        <v>66</v>
      </c>
      <c r="H71" s="21">
        <v>48000</v>
      </c>
      <c r="I71" s="16">
        <v>48.25</v>
      </c>
      <c r="J71" s="16"/>
      <c r="K71" s="25">
        <f t="shared" ref="K71:K89" si="23">$I71*EXP(($F71-0.5*$C71^2)*$E71-$C71*SQRT($E71)*$G$2)</f>
        <v>19.354832558018888</v>
      </c>
      <c r="L71" s="25">
        <f t="shared" ref="L71:L89" si="24">$I71*EXP(($F71-0.5*$C71^2)*$E71+$C71*SQRT($E71)*$G$2)</f>
        <v>95.156915915143045</v>
      </c>
      <c r="M71" s="16"/>
      <c r="N71" s="16">
        <f t="shared" ref="N71:N84" si="25">M71-I71</f>
        <v>-48.25</v>
      </c>
      <c r="O71" s="16"/>
      <c r="P71" s="25">
        <f t="shared" ref="P71:P84" si="26">N71*T71</f>
        <v>-2276145.5</v>
      </c>
      <c r="Q71" s="25">
        <f t="shared" ref="Q71:Q84" si="27">O71*T71</f>
        <v>0</v>
      </c>
      <c r="R71" s="25">
        <f t="shared" si="20"/>
        <v>46.906915915143045</v>
      </c>
      <c r="S71" s="16">
        <f t="shared" si="21"/>
        <v>-28.895167441981112</v>
      </c>
      <c r="T71" s="35">
        <v>47174</v>
      </c>
      <c r="U71" s="26">
        <f t="shared" si="17"/>
        <v>2212786.8513809582</v>
      </c>
      <c r="V71" s="26">
        <f t="shared" si="18"/>
        <v>-1363100.628908017</v>
      </c>
      <c r="W71" s="17"/>
      <c r="X71" s="17"/>
    </row>
    <row r="72" spans="1:24" x14ac:dyDescent="0.15">
      <c r="A72">
        <f t="shared" si="22"/>
        <v>31</v>
      </c>
      <c r="C72" s="13">
        <v>0.21075682458359901</v>
      </c>
      <c r="D72" s="13"/>
      <c r="E72" s="29">
        <f t="shared" si="16"/>
        <v>5.583333333333333</v>
      </c>
      <c r="F72" s="28">
        <f t="shared" si="19"/>
        <v>0</v>
      </c>
      <c r="G72" s="1">
        <v>67</v>
      </c>
      <c r="H72" s="21">
        <v>48030</v>
      </c>
      <c r="I72" s="16">
        <v>82.5</v>
      </c>
      <c r="J72" s="16"/>
      <c r="K72" s="25">
        <f t="shared" si="23"/>
        <v>32.123522466409248</v>
      </c>
      <c r="L72" s="25">
        <f t="shared" si="24"/>
        <v>165.34018621810489</v>
      </c>
      <c r="M72" s="16"/>
      <c r="N72" s="16">
        <f t="shared" si="25"/>
        <v>-82.5</v>
      </c>
      <c r="O72" s="16"/>
      <c r="P72" s="25">
        <f t="shared" si="26"/>
        <v>-4077232.5</v>
      </c>
      <c r="Q72" s="25">
        <f t="shared" si="27"/>
        <v>0</v>
      </c>
      <c r="R72" s="25">
        <f t="shared" si="20"/>
        <v>82.84018621810489</v>
      </c>
      <c r="S72" s="16">
        <f t="shared" si="21"/>
        <v>-50.376477533590752</v>
      </c>
      <c r="T72" s="35">
        <v>49421</v>
      </c>
      <c r="U72" s="26">
        <f t="shared" si="17"/>
        <v>4094044.8430849616</v>
      </c>
      <c r="V72" s="26">
        <f t="shared" si="18"/>
        <v>-2489655.8961875886</v>
      </c>
      <c r="W72" s="17"/>
      <c r="X72" s="17"/>
    </row>
    <row r="73" spans="1:24" x14ac:dyDescent="0.15">
      <c r="A73">
        <f t="shared" si="22"/>
        <v>31</v>
      </c>
      <c r="C73" s="13">
        <v>0.27626370078495099</v>
      </c>
      <c r="D73" s="13"/>
      <c r="E73" s="29">
        <f t="shared" si="16"/>
        <v>5.666666666666667</v>
      </c>
      <c r="F73" s="28">
        <f t="shared" si="19"/>
        <v>0</v>
      </c>
      <c r="G73" s="1">
        <v>68</v>
      </c>
      <c r="H73" s="21">
        <v>48061</v>
      </c>
      <c r="I73" s="16">
        <v>64.099999999999994</v>
      </c>
      <c r="J73" s="16"/>
      <c r="K73" s="25">
        <f t="shared" si="23"/>
        <v>17.503193307732332</v>
      </c>
      <c r="L73" s="25">
        <f t="shared" si="24"/>
        <v>152.32496079209321</v>
      </c>
      <c r="M73" s="16"/>
      <c r="N73" s="16">
        <f t="shared" si="25"/>
        <v>-64.099999999999994</v>
      </c>
      <c r="O73" s="16"/>
      <c r="P73" s="25">
        <f t="shared" si="26"/>
        <v>-3023853.4</v>
      </c>
      <c r="Q73" s="25">
        <f t="shared" si="27"/>
        <v>0</v>
      </c>
      <c r="R73" s="25">
        <f t="shared" si="20"/>
        <v>88.224960792093214</v>
      </c>
      <c r="S73" s="16">
        <f t="shared" si="21"/>
        <v>-46.596806692267663</v>
      </c>
      <c r="T73" s="35">
        <v>47174</v>
      </c>
      <c r="U73" s="26">
        <f t="shared" si="17"/>
        <v>4161924.3004062055</v>
      </c>
      <c r="V73" s="26">
        <f t="shared" si="18"/>
        <v>-2198157.7589010349</v>
      </c>
      <c r="W73" s="17"/>
      <c r="X73" s="17"/>
    </row>
    <row r="74" spans="1:24" x14ac:dyDescent="0.15">
      <c r="A74">
        <f t="shared" si="22"/>
        <v>30</v>
      </c>
      <c r="C74" s="13">
        <v>0.21004932506034199</v>
      </c>
      <c r="D74" s="13"/>
      <c r="E74" s="29">
        <f t="shared" si="16"/>
        <v>5.75</v>
      </c>
      <c r="F74" s="28">
        <f t="shared" si="19"/>
        <v>0</v>
      </c>
      <c r="G74" s="1">
        <v>69</v>
      </c>
      <c r="H74" s="21">
        <v>48092</v>
      </c>
      <c r="I74" s="16">
        <v>39</v>
      </c>
      <c r="J74" s="16"/>
      <c r="K74" s="25">
        <f t="shared" si="23"/>
        <v>15.001647269459474</v>
      </c>
      <c r="L74" s="25">
        <f t="shared" si="24"/>
        <v>78.670570900133725</v>
      </c>
      <c r="M74" s="16"/>
      <c r="N74" s="16">
        <f t="shared" si="25"/>
        <v>-39</v>
      </c>
      <c r="O74" s="16"/>
      <c r="P74" s="25">
        <f t="shared" si="26"/>
        <v>-1379859</v>
      </c>
      <c r="Q74" s="25">
        <f t="shared" si="27"/>
        <v>0</v>
      </c>
      <c r="R74" s="25">
        <f t="shared" si="20"/>
        <v>39.670570900133725</v>
      </c>
      <c r="S74" s="16">
        <f t="shared" si="21"/>
        <v>-23.998352730540525</v>
      </c>
      <c r="T74" s="35">
        <v>35381</v>
      </c>
      <c r="U74" s="26">
        <f t="shared" si="17"/>
        <v>1403584.4690176314</v>
      </c>
      <c r="V74" s="26">
        <f t="shared" si="18"/>
        <v>-849085.71795925428</v>
      </c>
      <c r="W74" s="17"/>
      <c r="X74" s="17"/>
    </row>
    <row r="75" spans="1:24" x14ac:dyDescent="0.15">
      <c r="A75">
        <f t="shared" si="22"/>
        <v>31</v>
      </c>
      <c r="C75" s="13">
        <v>0.32327447549514399</v>
      </c>
      <c r="D75" s="13"/>
      <c r="E75" s="29">
        <f t="shared" si="16"/>
        <v>5.833333333333333</v>
      </c>
      <c r="F75" s="28">
        <f t="shared" si="19"/>
        <v>0</v>
      </c>
      <c r="G75" s="1">
        <v>70</v>
      </c>
      <c r="H75" s="21">
        <v>48122</v>
      </c>
      <c r="I75" s="16">
        <v>39</v>
      </c>
      <c r="J75" s="16"/>
      <c r="K75" s="25">
        <f t="shared" si="23"/>
        <v>7.9594898030283616</v>
      </c>
      <c r="L75" s="25">
        <f t="shared" si="24"/>
        <v>103.86975947463532</v>
      </c>
      <c r="M75" s="16"/>
      <c r="N75" s="16">
        <f t="shared" si="25"/>
        <v>-39</v>
      </c>
      <c r="O75" s="16"/>
      <c r="P75" s="25">
        <f t="shared" si="26"/>
        <v>-1511250</v>
      </c>
      <c r="Q75" s="25">
        <f t="shared" si="27"/>
        <v>0</v>
      </c>
      <c r="R75" s="25">
        <f t="shared" si="20"/>
        <v>64.869759474635316</v>
      </c>
      <c r="S75" s="16">
        <f t="shared" si="21"/>
        <v>-31.040510196971638</v>
      </c>
      <c r="T75" s="35">
        <v>38750</v>
      </c>
      <c r="U75" s="26">
        <f t="shared" si="17"/>
        <v>2513703.1796421185</v>
      </c>
      <c r="V75" s="26">
        <f t="shared" si="18"/>
        <v>-1202819.7701326511</v>
      </c>
      <c r="W75" s="17"/>
      <c r="X75" s="17"/>
    </row>
    <row r="76" spans="1:24" x14ac:dyDescent="0.15">
      <c r="A76">
        <f t="shared" si="22"/>
        <v>30</v>
      </c>
      <c r="C76" s="13">
        <v>0.33029793826201398</v>
      </c>
      <c r="D76" s="13"/>
      <c r="E76" s="29">
        <f t="shared" si="16"/>
        <v>5.916666666666667</v>
      </c>
      <c r="F76" s="28">
        <f t="shared" si="19"/>
        <v>0</v>
      </c>
      <c r="G76" s="1">
        <v>71</v>
      </c>
      <c r="H76" s="21">
        <v>48153</v>
      </c>
      <c r="I76" s="16">
        <v>54.25</v>
      </c>
      <c r="J76" s="16"/>
      <c r="K76" s="25">
        <f t="shared" si="23"/>
        <v>10.477469630989551</v>
      </c>
      <c r="L76" s="25">
        <f t="shared" si="24"/>
        <v>147.30272285657674</v>
      </c>
      <c r="M76" s="16"/>
      <c r="N76" s="16">
        <f t="shared" si="25"/>
        <v>-54.25</v>
      </c>
      <c r="O76" s="16"/>
      <c r="P76" s="25">
        <f t="shared" si="26"/>
        <v>-2315498.5</v>
      </c>
      <c r="Q76" s="25">
        <f t="shared" si="27"/>
        <v>0</v>
      </c>
      <c r="R76" s="25">
        <f t="shared" si="20"/>
        <v>93.052722856576736</v>
      </c>
      <c r="S76" s="16">
        <f t="shared" si="21"/>
        <v>-43.772530369010447</v>
      </c>
      <c r="T76" s="35">
        <v>42682</v>
      </c>
      <c r="U76" s="26">
        <f t="shared" si="17"/>
        <v>3971676.3169644084</v>
      </c>
      <c r="V76" s="26">
        <f t="shared" si="18"/>
        <v>-1868299.1412101039</v>
      </c>
      <c r="W76" s="17"/>
      <c r="X76" s="17"/>
    </row>
    <row r="77" spans="1:24" x14ac:dyDescent="0.15">
      <c r="A77">
        <f t="shared" si="22"/>
        <v>31</v>
      </c>
      <c r="C77" s="13">
        <v>0.225297601015571</v>
      </c>
      <c r="D77" s="13"/>
      <c r="E77" s="29">
        <f t="shared" si="16"/>
        <v>6</v>
      </c>
      <c r="F77" s="28">
        <f t="shared" si="19"/>
        <v>0</v>
      </c>
      <c r="G77" s="1">
        <v>72</v>
      </c>
      <c r="H77" s="21">
        <v>48183</v>
      </c>
      <c r="I77" s="16">
        <v>89.75</v>
      </c>
      <c r="J77" s="16"/>
      <c r="K77" s="25">
        <f t="shared" si="23"/>
        <v>31.091499459765291</v>
      </c>
      <c r="L77" s="25">
        <f t="shared" si="24"/>
        <v>191.05618518103759</v>
      </c>
      <c r="M77" s="16"/>
      <c r="N77" s="16">
        <f t="shared" si="25"/>
        <v>-89.75</v>
      </c>
      <c r="O77" s="16"/>
      <c r="P77" s="25">
        <f t="shared" si="26"/>
        <v>-4435534.75</v>
      </c>
      <c r="Q77" s="25">
        <f t="shared" si="27"/>
        <v>0</v>
      </c>
      <c r="R77" s="25">
        <f t="shared" si="20"/>
        <v>101.30618518103759</v>
      </c>
      <c r="S77" s="16">
        <f t="shared" si="21"/>
        <v>-58.658500540234712</v>
      </c>
      <c r="T77" s="35">
        <v>49421</v>
      </c>
      <c r="U77" s="26">
        <f t="shared" si="17"/>
        <v>5006652.9778320584</v>
      </c>
      <c r="V77" s="26">
        <f t="shared" si="18"/>
        <v>-2898961.7551989397</v>
      </c>
      <c r="W77" s="17"/>
      <c r="X77" s="17"/>
    </row>
    <row r="78" spans="1:24" x14ac:dyDescent="0.15">
      <c r="A78">
        <f>DAY(EOMONTH(H78,0))</f>
        <v>31</v>
      </c>
      <c r="C78" s="13">
        <v>0.32858722008401198</v>
      </c>
      <c r="D78" s="13"/>
      <c r="E78" s="29">
        <f t="shared" si="16"/>
        <v>6.083333333333333</v>
      </c>
      <c r="F78" s="28">
        <f t="shared" si="19"/>
        <v>0</v>
      </c>
      <c r="G78" s="1">
        <v>73</v>
      </c>
      <c r="H78" s="21">
        <v>48214</v>
      </c>
      <c r="I78" s="16">
        <v>144.25</v>
      </c>
      <c r="J78" s="16"/>
      <c r="K78" s="25">
        <f t="shared" si="23"/>
        <v>27.384162235665798</v>
      </c>
      <c r="L78" s="25">
        <f t="shared" si="24"/>
        <v>393.98630682710319</v>
      </c>
      <c r="M78" s="16"/>
      <c r="N78" s="16">
        <f t="shared" si="25"/>
        <v>-144.25</v>
      </c>
      <c r="O78" s="16"/>
      <c r="P78" s="25">
        <f t="shared" si="26"/>
        <v>-6804849.5</v>
      </c>
      <c r="Q78" s="25">
        <f t="shared" si="27"/>
        <v>0</v>
      </c>
      <c r="R78" s="25">
        <f t="shared" si="20"/>
        <v>249.73630682710319</v>
      </c>
      <c r="S78" s="16">
        <f t="shared" si="21"/>
        <v>-116.8658377643342</v>
      </c>
      <c r="T78" s="35">
        <v>47174</v>
      </c>
      <c r="U78" s="26">
        <f t="shared" si="17"/>
        <v>11781060.538261766</v>
      </c>
      <c r="V78" s="26">
        <f t="shared" si="18"/>
        <v>-5513029.0306947017</v>
      </c>
      <c r="W78" s="17"/>
      <c r="X78" s="17"/>
    </row>
    <row r="79" spans="1:24" x14ac:dyDescent="0.15">
      <c r="A79">
        <f t="shared" ref="A79:A89" si="28">DAY(EOMONTH(H79,0))</f>
        <v>29</v>
      </c>
      <c r="C79" s="13">
        <v>0.44789491535035098</v>
      </c>
      <c r="D79" s="13"/>
      <c r="E79" s="29">
        <f t="shared" si="16"/>
        <v>6.166666666666667</v>
      </c>
      <c r="F79" s="28">
        <f t="shared" si="19"/>
        <v>0</v>
      </c>
      <c r="G79" s="1">
        <v>74</v>
      </c>
      <c r="H79" s="21">
        <v>48245</v>
      </c>
      <c r="I79" s="16">
        <v>125.25</v>
      </c>
      <c r="J79" s="16"/>
      <c r="K79" s="25">
        <f t="shared" si="23"/>
        <v>10.827810172807707</v>
      </c>
      <c r="L79" s="25">
        <f t="shared" si="24"/>
        <v>420.4861460202045</v>
      </c>
      <c r="M79" s="16"/>
      <c r="N79" s="16">
        <f t="shared" si="25"/>
        <v>-125.25</v>
      </c>
      <c r="O79" s="16"/>
      <c r="P79" s="25">
        <f t="shared" si="26"/>
        <v>-5627232</v>
      </c>
      <c r="Q79" s="25">
        <f t="shared" si="27"/>
        <v>0</v>
      </c>
      <c r="R79" s="25">
        <f t="shared" si="20"/>
        <v>295.2361460202045</v>
      </c>
      <c r="S79" s="16">
        <f t="shared" si="21"/>
        <v>-114.4221898271923</v>
      </c>
      <c r="T79" s="35">
        <v>44928</v>
      </c>
      <c r="U79" s="26">
        <f t="shared" si="17"/>
        <v>13264369.568395749</v>
      </c>
      <c r="V79" s="26">
        <f t="shared" si="18"/>
        <v>-5140760.1445560958</v>
      </c>
      <c r="W79" s="17"/>
      <c r="X79" s="17"/>
    </row>
    <row r="80" spans="1:24" x14ac:dyDescent="0.15">
      <c r="A80">
        <f t="shared" si="28"/>
        <v>31</v>
      </c>
      <c r="C80" s="13">
        <v>0.26375971098385198</v>
      </c>
      <c r="D80" s="13"/>
      <c r="E80" s="29">
        <f t="shared" si="16"/>
        <v>6.25</v>
      </c>
      <c r="F80" s="28">
        <f t="shared" si="19"/>
        <v>0</v>
      </c>
      <c r="G80" s="1">
        <v>75</v>
      </c>
      <c r="H80" s="21">
        <v>48274</v>
      </c>
      <c r="I80" s="16">
        <v>65.25</v>
      </c>
      <c r="J80" s="16"/>
      <c r="K80" s="25">
        <f t="shared" si="23"/>
        <v>17.745119692666503</v>
      </c>
      <c r="L80" s="25">
        <f t="shared" si="24"/>
        <v>155.32724572325677</v>
      </c>
      <c r="M80" s="16"/>
      <c r="N80" s="16">
        <f t="shared" si="25"/>
        <v>-65.25</v>
      </c>
      <c r="O80" s="16"/>
      <c r="P80" s="25">
        <f t="shared" si="26"/>
        <v>-3371271.75</v>
      </c>
      <c r="Q80" s="25">
        <f t="shared" si="27"/>
        <v>0</v>
      </c>
      <c r="R80" s="25">
        <f t="shared" si="20"/>
        <v>90.077245723256766</v>
      </c>
      <c r="S80" s="16">
        <f t="shared" si="21"/>
        <v>-47.504880307333494</v>
      </c>
      <c r="T80" s="35">
        <v>51667</v>
      </c>
      <c r="U80" s="26">
        <f t="shared" si="17"/>
        <v>4654021.0547835073</v>
      </c>
      <c r="V80" s="26">
        <f t="shared" si="18"/>
        <v>-2454434.6508389995</v>
      </c>
      <c r="W80" s="17"/>
      <c r="X80" s="17"/>
    </row>
    <row r="81" spans="1:24" x14ac:dyDescent="0.15">
      <c r="A81">
        <f t="shared" si="28"/>
        <v>30</v>
      </c>
      <c r="C81" s="13">
        <v>0.19153025705802601</v>
      </c>
      <c r="D81" s="13"/>
      <c r="E81" s="29">
        <f t="shared" si="16"/>
        <v>6.333333333333333</v>
      </c>
      <c r="F81" s="28">
        <f t="shared" si="19"/>
        <v>0</v>
      </c>
      <c r="G81" s="1">
        <v>76</v>
      </c>
      <c r="H81" s="21">
        <v>48305</v>
      </c>
      <c r="I81" s="16">
        <v>43</v>
      </c>
      <c r="J81" s="16"/>
      <c r="K81" s="25">
        <f t="shared" si="23"/>
        <v>17.324690992792849</v>
      </c>
      <c r="L81" s="25">
        <f t="shared" si="24"/>
        <v>84.600192304762473</v>
      </c>
      <c r="M81" s="16"/>
      <c r="N81" s="16">
        <f t="shared" si="25"/>
        <v>-43</v>
      </c>
      <c r="O81" s="16"/>
      <c r="P81" s="25">
        <f t="shared" si="26"/>
        <v>-1593838</v>
      </c>
      <c r="Q81" s="25">
        <f t="shared" si="27"/>
        <v>0</v>
      </c>
      <c r="R81" s="25">
        <f t="shared" si="20"/>
        <v>41.600192304762473</v>
      </c>
      <c r="S81" s="16">
        <f t="shared" si="21"/>
        <v>-25.675309007207151</v>
      </c>
      <c r="T81" s="35">
        <v>37066</v>
      </c>
      <c r="U81" s="26">
        <f t="shared" si="17"/>
        <v>1541952.7279683258</v>
      </c>
      <c r="V81" s="26">
        <f t="shared" si="18"/>
        <v>-951681.00366114022</v>
      </c>
      <c r="W81" s="17"/>
      <c r="X81" s="17"/>
    </row>
    <row r="82" spans="1:24" x14ac:dyDescent="0.15">
      <c r="A82">
        <f t="shared" si="28"/>
        <v>31</v>
      </c>
      <c r="C82" s="13">
        <v>0.35847604983947501</v>
      </c>
      <c r="D82" s="13"/>
      <c r="E82" s="29">
        <f t="shared" si="16"/>
        <v>6.416666666666667</v>
      </c>
      <c r="F82" s="28">
        <f t="shared" si="19"/>
        <v>0</v>
      </c>
      <c r="G82" s="1">
        <v>77</v>
      </c>
      <c r="H82" s="21">
        <v>48335</v>
      </c>
      <c r="I82" s="16">
        <v>36.5</v>
      </c>
      <c r="J82" s="16"/>
      <c r="K82" s="25">
        <f t="shared" si="23"/>
        <v>5.4263421345986638</v>
      </c>
      <c r="L82" s="25">
        <f t="shared" si="24"/>
        <v>107.63921163968965</v>
      </c>
      <c r="M82" s="16"/>
      <c r="N82" s="16">
        <f t="shared" si="25"/>
        <v>-36.5</v>
      </c>
      <c r="O82" s="16"/>
      <c r="P82" s="25">
        <f t="shared" si="26"/>
        <v>-1229904</v>
      </c>
      <c r="Q82" s="25">
        <f t="shared" si="27"/>
        <v>0</v>
      </c>
      <c r="R82" s="25">
        <f t="shared" si="20"/>
        <v>71.139211639689648</v>
      </c>
      <c r="S82" s="16">
        <f t="shared" si="21"/>
        <v>-31.073657865401337</v>
      </c>
      <c r="T82" s="35">
        <v>33696</v>
      </c>
      <c r="U82" s="26">
        <f t="shared" si="17"/>
        <v>2397106.8754109824</v>
      </c>
      <c r="V82" s="26">
        <f t="shared" si="18"/>
        <v>-1047057.9754325635</v>
      </c>
      <c r="W82" s="17"/>
      <c r="X82" s="17"/>
    </row>
    <row r="83" spans="1:24" x14ac:dyDescent="0.15">
      <c r="A83">
        <f t="shared" si="28"/>
        <v>30</v>
      </c>
      <c r="C83" s="13">
        <v>0.20640747309935401</v>
      </c>
      <c r="D83" s="13"/>
      <c r="E83" s="29">
        <f t="shared" si="16"/>
        <v>6.5</v>
      </c>
      <c r="F83" s="28">
        <f t="shared" si="19"/>
        <v>0</v>
      </c>
      <c r="G83" s="1">
        <v>78</v>
      </c>
      <c r="H83" s="21">
        <v>48366</v>
      </c>
      <c r="I83" s="16">
        <v>48.25</v>
      </c>
      <c r="J83" s="16"/>
      <c r="K83" s="25">
        <f t="shared" si="23"/>
        <v>17.677124299395814</v>
      </c>
      <c r="L83" s="25">
        <f t="shared" si="24"/>
        <v>99.842502774031487</v>
      </c>
      <c r="M83" s="16"/>
      <c r="N83" s="16">
        <f t="shared" si="25"/>
        <v>-48.25</v>
      </c>
      <c r="O83" s="16"/>
      <c r="P83" s="25">
        <f t="shared" si="26"/>
        <v>-2384563.25</v>
      </c>
      <c r="Q83" s="25">
        <f t="shared" si="27"/>
        <v>0</v>
      </c>
      <c r="R83" s="25">
        <f t="shared" si="20"/>
        <v>51.592502774031487</v>
      </c>
      <c r="S83" s="16">
        <f t="shared" si="21"/>
        <v>-30.572875700604186</v>
      </c>
      <c r="T83" s="35">
        <v>49421</v>
      </c>
      <c r="U83" s="26">
        <f t="shared" si="17"/>
        <v>2549753.0795954103</v>
      </c>
      <c r="V83" s="26">
        <f t="shared" si="18"/>
        <v>-1510942.0899995596</v>
      </c>
      <c r="W83" s="17"/>
      <c r="X83" s="17"/>
    </row>
    <row r="84" spans="1:24" x14ac:dyDescent="0.15">
      <c r="A84">
        <f t="shared" si="28"/>
        <v>31</v>
      </c>
      <c r="C84" s="13">
        <v>0.21075682458359901</v>
      </c>
      <c r="D84" s="13"/>
      <c r="E84" s="29">
        <f t="shared" si="16"/>
        <v>6.583333333333333</v>
      </c>
      <c r="F84" s="28">
        <f t="shared" si="19"/>
        <v>0</v>
      </c>
      <c r="G84" s="1">
        <v>79</v>
      </c>
      <c r="H84" s="21">
        <v>48396</v>
      </c>
      <c r="I84" s="16">
        <v>82.5</v>
      </c>
      <c r="J84" s="16"/>
      <c r="K84" s="25">
        <f t="shared" si="23"/>
        <v>29.283885385076427</v>
      </c>
      <c r="L84" s="25">
        <f t="shared" si="24"/>
        <v>173.49309806941849</v>
      </c>
      <c r="M84" s="16"/>
      <c r="N84" s="16">
        <f t="shared" si="25"/>
        <v>-82.5</v>
      </c>
      <c r="O84" s="16"/>
      <c r="P84" s="25">
        <f t="shared" si="26"/>
        <v>-3891855</v>
      </c>
      <c r="Q84" s="25">
        <f t="shared" si="27"/>
        <v>0</v>
      </c>
      <c r="R84" s="25">
        <f t="shared" si="20"/>
        <v>90.993098069418494</v>
      </c>
      <c r="S84" s="16">
        <f t="shared" si="21"/>
        <v>-53.216114614923569</v>
      </c>
      <c r="T84" s="35">
        <v>47174</v>
      </c>
      <c r="U84" s="26">
        <f t="shared" si="17"/>
        <v>4292508.4083267478</v>
      </c>
      <c r="V84" s="26">
        <f t="shared" si="18"/>
        <v>-2510416.9908444043</v>
      </c>
      <c r="W84" s="17"/>
      <c r="X84" s="17"/>
    </row>
    <row r="85" spans="1:24" x14ac:dyDescent="0.15">
      <c r="A85">
        <f t="shared" si="28"/>
        <v>31</v>
      </c>
      <c r="C85" s="1">
        <v>0.27626370078495099</v>
      </c>
      <c r="E85" s="29">
        <f t="shared" si="16"/>
        <v>6.666666666666667</v>
      </c>
      <c r="F85" s="28">
        <f t="shared" si="19"/>
        <v>0</v>
      </c>
      <c r="G85" s="1">
        <v>80</v>
      </c>
      <c r="H85" s="21">
        <v>48427</v>
      </c>
      <c r="I85" s="16">
        <v>64.099999999999994</v>
      </c>
      <c r="J85" s="16"/>
      <c r="K85" s="25">
        <f t="shared" si="23"/>
        <v>15.373485245138742</v>
      </c>
      <c r="L85" s="25">
        <f t="shared" si="24"/>
        <v>160.68301240682044</v>
      </c>
      <c r="M85" s="16"/>
      <c r="N85" s="16">
        <f t="shared" ref="N85:N89" si="29">M85-I85</f>
        <v>-64.099999999999994</v>
      </c>
      <c r="O85" s="16"/>
      <c r="P85" s="25">
        <f t="shared" ref="P85:P89" si="30">N85*T85</f>
        <v>-3167886.0999999996</v>
      </c>
      <c r="Q85" s="25">
        <f t="shared" ref="Q85:Q89" si="31">O85*T85</f>
        <v>0</v>
      </c>
      <c r="R85" s="25">
        <f t="shared" si="20"/>
        <v>96.583012406820444</v>
      </c>
      <c r="S85" s="16">
        <f t="shared" ref="S85:S89" si="32">K85-I85</f>
        <v>-48.726514754861256</v>
      </c>
      <c r="T85" s="35">
        <v>49421</v>
      </c>
      <c r="U85" s="26">
        <f t="shared" si="17"/>
        <v>4773229.0561574735</v>
      </c>
      <c r="V85" s="26">
        <f t="shared" si="18"/>
        <v>-2408113.0856999983</v>
      </c>
    </row>
    <row r="86" spans="1:24" x14ac:dyDescent="0.15">
      <c r="A86">
        <f t="shared" si="28"/>
        <v>30</v>
      </c>
      <c r="C86" s="1">
        <v>0.21004932506034199</v>
      </c>
      <c r="E86" s="29">
        <f t="shared" si="16"/>
        <v>6.75</v>
      </c>
      <c r="F86" s="28">
        <f t="shared" si="19"/>
        <v>0</v>
      </c>
      <c r="G86" s="1">
        <v>81</v>
      </c>
      <c r="H86" s="21">
        <v>48458</v>
      </c>
      <c r="I86" s="16">
        <v>39</v>
      </c>
      <c r="J86" s="16"/>
      <c r="K86" s="25">
        <f t="shared" si="23"/>
        <v>13.693728923750896</v>
      </c>
      <c r="L86" s="25">
        <f t="shared" si="24"/>
        <v>82.464710807681158</v>
      </c>
      <c r="M86" s="16"/>
      <c r="N86" s="16">
        <f t="shared" si="29"/>
        <v>-39</v>
      </c>
      <c r="O86" s="16"/>
      <c r="P86" s="25">
        <f t="shared" si="30"/>
        <v>-1379859</v>
      </c>
      <c r="Q86" s="25">
        <f t="shared" si="31"/>
        <v>0</v>
      </c>
      <c r="R86" s="25">
        <f t="shared" si="20"/>
        <v>43.464710807681158</v>
      </c>
      <c r="S86" s="16">
        <f t="shared" si="32"/>
        <v>-25.306271076249104</v>
      </c>
      <c r="T86" s="35">
        <v>35381</v>
      </c>
      <c r="U86" s="26">
        <f t="shared" si="17"/>
        <v>1537824.9330865671</v>
      </c>
      <c r="V86" s="26">
        <f t="shared" si="18"/>
        <v>-895361.17694876948</v>
      </c>
    </row>
    <row r="87" spans="1:24" x14ac:dyDescent="0.15">
      <c r="A87">
        <f t="shared" si="28"/>
        <v>31</v>
      </c>
      <c r="C87" s="1">
        <v>0.32327447549514399</v>
      </c>
      <c r="E87" s="29">
        <f t="shared" si="16"/>
        <v>6.833333333333333</v>
      </c>
      <c r="F87" s="28">
        <f t="shared" si="19"/>
        <v>0</v>
      </c>
      <c r="G87" s="1">
        <v>82</v>
      </c>
      <c r="H87" s="21">
        <v>48488</v>
      </c>
      <c r="I87" s="16">
        <v>39</v>
      </c>
      <c r="J87" s="16"/>
      <c r="K87" s="25">
        <f t="shared" si="23"/>
        <v>6.7962698029313566</v>
      </c>
      <c r="L87" s="25">
        <f t="shared" si="24"/>
        <v>109.57644291674963</v>
      </c>
      <c r="M87" s="16"/>
      <c r="N87" s="16">
        <f t="shared" si="29"/>
        <v>-39</v>
      </c>
      <c r="O87" s="16"/>
      <c r="P87" s="25">
        <f t="shared" si="30"/>
        <v>-1379859</v>
      </c>
      <c r="Q87" s="25">
        <f t="shared" si="31"/>
        <v>0</v>
      </c>
      <c r="R87" s="25">
        <f t="shared" si="20"/>
        <v>70.576442916749627</v>
      </c>
      <c r="S87" s="16">
        <f t="shared" si="32"/>
        <v>-32.203730197068644</v>
      </c>
      <c r="T87" s="35">
        <v>35381</v>
      </c>
      <c r="U87" s="26">
        <f t="shared" si="17"/>
        <v>2497065.1268375185</v>
      </c>
      <c r="V87" s="26">
        <f t="shared" si="18"/>
        <v>-1139400.1781024856</v>
      </c>
    </row>
    <row r="88" spans="1:24" x14ac:dyDescent="0.15">
      <c r="A88">
        <f t="shared" si="28"/>
        <v>30</v>
      </c>
      <c r="C88" s="1">
        <v>0.33029793826201398</v>
      </c>
      <c r="E88" s="29">
        <f t="shared" si="16"/>
        <v>6.916666666666667</v>
      </c>
      <c r="F88" s="28">
        <f t="shared" si="19"/>
        <v>0</v>
      </c>
      <c r="G88" s="1">
        <v>83</v>
      </c>
      <c r="H88" s="21">
        <v>48519</v>
      </c>
      <c r="I88" s="16">
        <v>54.25</v>
      </c>
      <c r="J88" s="16"/>
      <c r="K88" s="25">
        <f t="shared" si="23"/>
        <v>8.9115639973848868</v>
      </c>
      <c r="L88" s="25">
        <f t="shared" si="24"/>
        <v>155.28630215847144</v>
      </c>
      <c r="M88" s="16"/>
      <c r="N88" s="16">
        <f t="shared" si="29"/>
        <v>-54.25</v>
      </c>
      <c r="O88" s="16"/>
      <c r="P88" s="25">
        <f t="shared" si="30"/>
        <v>-2559189.5</v>
      </c>
      <c r="Q88" s="25">
        <f t="shared" si="31"/>
        <v>0</v>
      </c>
      <c r="R88" s="25">
        <f t="shared" si="20"/>
        <v>101.03630215847144</v>
      </c>
      <c r="S88" s="16">
        <f t="shared" si="32"/>
        <v>-45.338436002615111</v>
      </c>
      <c r="T88" s="35">
        <v>47174</v>
      </c>
      <c r="U88" s="26">
        <f t="shared" si="17"/>
        <v>4766286.5180237321</v>
      </c>
      <c r="V88" s="26">
        <f t="shared" si="18"/>
        <v>-2138795.3799873651</v>
      </c>
    </row>
    <row r="89" spans="1:24" x14ac:dyDescent="0.15">
      <c r="A89">
        <f t="shared" si="28"/>
        <v>31</v>
      </c>
      <c r="C89" s="1">
        <v>0.225297601015571</v>
      </c>
      <c r="E89" s="29">
        <f t="shared" si="16"/>
        <v>7</v>
      </c>
      <c r="F89" s="28">
        <f t="shared" si="19"/>
        <v>0</v>
      </c>
      <c r="G89" s="1">
        <v>84</v>
      </c>
      <c r="H89" s="21">
        <v>48549</v>
      </c>
      <c r="I89" s="16">
        <v>89.75</v>
      </c>
      <c r="J89" s="16"/>
      <c r="K89" s="25">
        <f t="shared" si="23"/>
        <v>28.185778846285377</v>
      </c>
      <c r="L89" s="25">
        <f t="shared" si="24"/>
        <v>200.32187283018229</v>
      </c>
      <c r="M89" s="16"/>
      <c r="N89" s="16">
        <f t="shared" si="29"/>
        <v>-89.75</v>
      </c>
      <c r="O89" s="16"/>
      <c r="P89" s="25">
        <f t="shared" si="30"/>
        <v>-4637113.25</v>
      </c>
      <c r="Q89" s="25">
        <f t="shared" si="31"/>
        <v>0</v>
      </c>
      <c r="R89" s="25">
        <f t="shared" si="20"/>
        <v>110.57187283018229</v>
      </c>
      <c r="S89" s="16">
        <f t="shared" si="32"/>
        <v>-61.564221153714627</v>
      </c>
      <c r="T89" s="35">
        <v>51667</v>
      </c>
      <c r="U89" s="26">
        <f t="shared" si="17"/>
        <v>5712916.9535170281</v>
      </c>
      <c r="V89" s="26">
        <f t="shared" si="18"/>
        <v>-3180838.6143489736</v>
      </c>
    </row>
    <row r="90" spans="1:24" x14ac:dyDescent="0.15">
      <c r="H90" s="21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A114-F4A7-45B4-804F-A4DE3704D349}">
  <dimension ref="A1:X97"/>
  <sheetViews>
    <sheetView zoomScaleNormal="100" workbookViewId="0">
      <selection activeCell="R5" sqref="R5:R89"/>
    </sheetView>
  </sheetViews>
  <sheetFormatPr defaultRowHeight="10.5" x14ac:dyDescent="0.15"/>
  <cols>
    <col min="1" max="1" width="12.33203125" style="1" bestFit="1" customWidth="1"/>
    <col min="2" max="2" width="7.1640625" style="1" bestFit="1" customWidth="1"/>
    <col min="3" max="3" width="7.1640625" style="1" customWidth="1"/>
    <col min="4" max="4" width="9.1640625" style="1" bestFit="1" customWidth="1"/>
    <col min="5" max="5" width="5.83203125" style="1" bestFit="1" customWidth="1"/>
    <col min="6" max="6" width="12.1640625" style="1" bestFit="1" customWidth="1"/>
    <col min="7" max="7" width="9.83203125" style="1" bestFit="1" customWidth="1"/>
    <col min="8" max="8" width="10.5" style="1" bestFit="1" customWidth="1"/>
    <col min="9" max="9" width="14.5" style="1" customWidth="1"/>
    <col min="10" max="10" width="11.33203125" style="4" bestFit="1" customWidth="1"/>
    <col min="11" max="11" width="11.33203125" style="4" customWidth="1"/>
    <col min="12" max="12" width="11.6640625" style="4" customWidth="1"/>
    <col min="13" max="13" width="13.5" style="4" bestFit="1" customWidth="1"/>
    <col min="14" max="14" width="16.5" style="4" bestFit="1" customWidth="1"/>
    <col min="15" max="15" width="19.33203125" style="1" bestFit="1" customWidth="1"/>
    <col min="16" max="16" width="19.83203125" style="1" bestFit="1" customWidth="1"/>
    <col min="17" max="17" width="23.1640625" style="1" bestFit="1" customWidth="1"/>
    <col min="18" max="18" width="22" style="1" bestFit="1" customWidth="1"/>
    <col min="19" max="20" width="22" style="1" customWidth="1"/>
    <col min="21" max="21" width="20.33203125" style="1" bestFit="1" customWidth="1"/>
    <col min="22" max="22" width="23.1640625" style="1" bestFit="1" customWidth="1"/>
    <col min="23" max="23" width="20.33203125" style="1" customWidth="1"/>
    <col min="24" max="24" width="13.6640625" style="1" bestFit="1" customWidth="1"/>
    <col min="25" max="25" width="9.33203125" style="1"/>
    <col min="26" max="26" width="15.6640625" style="1" bestFit="1" customWidth="1"/>
    <col min="27" max="37" width="9.33203125" style="1"/>
    <col min="38" max="38" width="9.5" style="1" bestFit="1" customWidth="1"/>
    <col min="39" max="39" width="14.5" style="1" bestFit="1" customWidth="1"/>
    <col min="40" max="41" width="11.33203125" style="1" bestFit="1" customWidth="1"/>
    <col min="42" max="43" width="11.6640625" style="1" bestFit="1" customWidth="1"/>
    <col min="44" max="16384" width="9.33203125" style="1"/>
  </cols>
  <sheetData>
    <row r="1" spans="1:24" x14ac:dyDescent="0.15">
      <c r="C1" s="2"/>
      <c r="D1" s="22" t="s">
        <v>0</v>
      </c>
      <c r="E1" s="22"/>
      <c r="F1" s="23" t="s">
        <v>16</v>
      </c>
      <c r="G1" s="23" t="s">
        <v>15</v>
      </c>
      <c r="O1" s="5"/>
      <c r="P1" s="5"/>
      <c r="Q1" s="5"/>
      <c r="U1" s="1" t="s">
        <v>18</v>
      </c>
      <c r="V1" s="1" t="s">
        <v>19</v>
      </c>
    </row>
    <row r="2" spans="1:24" x14ac:dyDescent="0.15">
      <c r="C2" s="6"/>
      <c r="D2" s="22">
        <v>0</v>
      </c>
      <c r="E2" s="22"/>
      <c r="F2" s="22">
        <v>2.33</v>
      </c>
      <c r="G2" s="24">
        <v>1.645</v>
      </c>
      <c r="O2" s="7"/>
      <c r="U2" s="8">
        <f>SUM(U6:U41)</f>
        <v>65447337.082096957</v>
      </c>
      <c r="V2" s="8">
        <f>SUM(V6:V41)</f>
        <v>-45763438.880784087</v>
      </c>
    </row>
    <row r="3" spans="1:24" x14ac:dyDescent="0.15">
      <c r="G3" s="2"/>
      <c r="J3" s="3"/>
    </row>
    <row r="5" spans="1:24" x14ac:dyDescent="0.15">
      <c r="A5" s="1" t="s">
        <v>21</v>
      </c>
      <c r="B5" s="9"/>
      <c r="C5" s="9" t="s">
        <v>1</v>
      </c>
      <c r="D5" s="9"/>
      <c r="E5" s="9" t="s">
        <v>4</v>
      </c>
      <c r="F5" s="9" t="s">
        <v>0</v>
      </c>
      <c r="G5" s="9"/>
      <c r="H5" s="10" t="s">
        <v>2</v>
      </c>
      <c r="I5" s="10" t="s">
        <v>3</v>
      </c>
      <c r="J5" s="11" t="s">
        <v>5</v>
      </c>
      <c r="K5" s="11" t="s">
        <v>6</v>
      </c>
      <c r="L5" s="20" t="s">
        <v>7</v>
      </c>
      <c r="M5" s="10" t="s">
        <v>8</v>
      </c>
      <c r="N5" s="11" t="s">
        <v>9</v>
      </c>
      <c r="O5" s="11" t="s">
        <v>20</v>
      </c>
      <c r="P5" s="11" t="s">
        <v>10</v>
      </c>
      <c r="Q5" s="11" t="s">
        <v>22</v>
      </c>
      <c r="R5" s="20" t="s">
        <v>11</v>
      </c>
      <c r="S5" s="11" t="s">
        <v>12</v>
      </c>
      <c r="T5" s="11" t="s">
        <v>14</v>
      </c>
      <c r="U5" s="20" t="s">
        <v>13</v>
      </c>
      <c r="V5" s="20" t="s">
        <v>17</v>
      </c>
      <c r="W5" s="12"/>
      <c r="X5" s="12"/>
    </row>
    <row r="6" spans="1:24" x14ac:dyDescent="0.15">
      <c r="A6">
        <f>DAY(EOMONTH(H6,0))</f>
        <v>31</v>
      </c>
      <c r="C6" s="6"/>
      <c r="D6" s="13"/>
      <c r="F6" s="28">
        <f t="shared" ref="F6:F69" si="0">$D$2</f>
        <v>0</v>
      </c>
      <c r="G6" s="1">
        <v>1</v>
      </c>
      <c r="H6" s="21">
        <v>46023</v>
      </c>
      <c r="I6" s="16"/>
      <c r="J6" s="25">
        <f>$I6*EXP(($F6-0.5*$C6^2)*$E6-$C6*SQRT($E9)*$F$2)</f>
        <v>0</v>
      </c>
      <c r="K6" s="25">
        <f>$I6*EXP(($F6-0.5*$C6^2)*$E9-$C6*SQRT($E9)*$G$2)</f>
        <v>0</v>
      </c>
      <c r="L6" s="26">
        <f>$I6*EXP(($F6-0.5*$C6^2)*$E9+$C6*SQRT($E9)*$G$2)</f>
        <v>0</v>
      </c>
      <c r="M6" s="25">
        <f>$I6*EXP(($F6-0.5*$C6^2)*$E9+$C6*SQRT($E9)*$F$2)</f>
        <v>0</v>
      </c>
      <c r="N6" s="25">
        <f>M6-I6</f>
        <v>0</v>
      </c>
      <c r="O6" s="25">
        <f>J6-I6</f>
        <v>0</v>
      </c>
      <c r="P6" s="25">
        <f>N6*T6</f>
        <v>0</v>
      </c>
      <c r="Q6" s="25">
        <f>O6*T6</f>
        <v>0</v>
      </c>
      <c r="R6" s="26">
        <f t="shared" ref="R6:R69" si="1">L6-I6</f>
        <v>0</v>
      </c>
      <c r="S6" s="25">
        <f t="shared" ref="S6:S69" si="2">K6-I6</f>
        <v>0</v>
      </c>
      <c r="T6" s="16"/>
      <c r="U6" s="26">
        <f t="shared" ref="U6:U69" si="3">R6*T6</f>
        <v>0</v>
      </c>
      <c r="V6" s="26">
        <f t="shared" ref="V6:V69" si="4">S6*T6</f>
        <v>0</v>
      </c>
      <c r="W6" s="17"/>
      <c r="X6" s="18"/>
    </row>
    <row r="7" spans="1:24" x14ac:dyDescent="0.15">
      <c r="A7">
        <f t="shared" ref="A7:A70" si="5">DAY(EOMONTH(H7,0))</f>
        <v>28</v>
      </c>
      <c r="B7" s="19"/>
      <c r="C7" s="6"/>
      <c r="D7" s="13"/>
      <c r="F7" s="28">
        <f t="shared" si="0"/>
        <v>0</v>
      </c>
      <c r="G7" s="1">
        <v>2</v>
      </c>
      <c r="H7" s="21">
        <v>46054</v>
      </c>
      <c r="I7" s="16"/>
      <c r="J7" s="25">
        <f t="shared" ref="J7:J70" si="6">$I7*EXP(($F7-0.5*$C7^2)*$E7-$C7*SQRT($E10)*$F$2)</f>
        <v>0</v>
      </c>
      <c r="K7" s="25">
        <f>$I7*EXP(($F7-0.5*$C7^2)*$E10-$C7*SQRT($E10)*$G$2)</f>
        <v>0</v>
      </c>
      <c r="L7" s="26">
        <f>$I7*EXP(($F7-0.5*$C7^2)*$E10+$C7*SQRT($E10)*$G$2)</f>
        <v>0</v>
      </c>
      <c r="M7" s="25">
        <f>$I7*EXP(($F7-0.5*$C7^2)*$E10+$C7*SQRT($E10)*$F$2)</f>
        <v>0</v>
      </c>
      <c r="N7" s="25">
        <f t="shared" ref="N7:N70" si="7">M7-I7</f>
        <v>0</v>
      </c>
      <c r="O7" s="25">
        <f t="shared" ref="O7:O70" si="8">J7-I7</f>
        <v>0</v>
      </c>
      <c r="P7" s="25">
        <f t="shared" ref="P7:P70" si="9">N7*T7</f>
        <v>0</v>
      </c>
      <c r="Q7" s="25">
        <f t="shared" ref="Q7:Q70" si="10">O7*T7</f>
        <v>0</v>
      </c>
      <c r="R7" s="26">
        <f t="shared" si="1"/>
        <v>0</v>
      </c>
      <c r="S7" s="25">
        <f t="shared" si="2"/>
        <v>0</v>
      </c>
      <c r="T7" s="16"/>
      <c r="U7" s="26">
        <f t="shared" si="3"/>
        <v>0</v>
      </c>
      <c r="V7" s="26">
        <f t="shared" si="4"/>
        <v>0</v>
      </c>
      <c r="W7" s="17"/>
      <c r="X7" s="18"/>
    </row>
    <row r="8" spans="1:24" x14ac:dyDescent="0.15">
      <c r="A8">
        <f t="shared" si="5"/>
        <v>31</v>
      </c>
      <c r="B8" s="19"/>
      <c r="C8" s="6"/>
      <c r="D8" s="13"/>
      <c r="F8" s="28">
        <f t="shared" si="0"/>
        <v>0</v>
      </c>
      <c r="G8" s="1">
        <v>3</v>
      </c>
      <c r="H8" s="21">
        <v>46082</v>
      </c>
      <c r="I8" s="16"/>
      <c r="J8" s="25">
        <f t="shared" si="6"/>
        <v>0</v>
      </c>
      <c r="K8" s="25">
        <f>$I8*EXP(($F8-0.5*$C8^2)*$E11-$C8*SQRT($E11)*$G$2)</f>
        <v>0</v>
      </c>
      <c r="L8" s="26">
        <f>$I8*EXP(($F8-0.5*$C8^2)*$E11+$C8*SQRT($E11)*$G$2)</f>
        <v>0</v>
      </c>
      <c r="M8" s="25">
        <f>$I8*EXP(($F8-0.5*$C8^2)*$E11+$C8*SQRT($E11)*$F$2)</f>
        <v>0</v>
      </c>
      <c r="N8" s="25">
        <f t="shared" si="7"/>
        <v>0</v>
      </c>
      <c r="O8" s="25">
        <f t="shared" si="8"/>
        <v>0</v>
      </c>
      <c r="P8" s="25">
        <f t="shared" si="9"/>
        <v>0</v>
      </c>
      <c r="Q8" s="25">
        <f t="shared" si="10"/>
        <v>0</v>
      </c>
      <c r="R8" s="26">
        <f t="shared" si="1"/>
        <v>0</v>
      </c>
      <c r="S8" s="25">
        <f t="shared" si="2"/>
        <v>0</v>
      </c>
      <c r="T8" s="16"/>
      <c r="U8" s="26">
        <f t="shared" si="3"/>
        <v>0</v>
      </c>
      <c r="V8" s="26">
        <f t="shared" si="4"/>
        <v>0</v>
      </c>
      <c r="W8" s="17"/>
      <c r="X8" s="18"/>
    </row>
    <row r="9" spans="1:24" x14ac:dyDescent="0.15">
      <c r="A9">
        <f t="shared" si="5"/>
        <v>30</v>
      </c>
      <c r="B9" s="19"/>
      <c r="C9" s="6">
        <v>0.46886216139226999</v>
      </c>
      <c r="D9" s="13"/>
      <c r="E9" s="29">
        <f>G6/12</f>
        <v>8.3333333333333329E-2</v>
      </c>
      <c r="F9" s="28">
        <f t="shared" si="0"/>
        <v>0</v>
      </c>
      <c r="G9" s="1">
        <v>4</v>
      </c>
      <c r="H9" s="21">
        <v>46113</v>
      </c>
      <c r="I9" s="16">
        <v>52.75</v>
      </c>
      <c r="J9" s="25">
        <f>$I9*EXP(($F9-0.5*$C9^2)*$E9-$C9*SQRT($E9)*$F$2)</f>
        <v>38.13152250172481</v>
      </c>
      <c r="K9" s="25">
        <f>$I9*EXP(($F9-0.5*$C9^2)*$E9-$C9*SQRT($E9)*$G$2)</f>
        <v>41.835918419226239</v>
      </c>
      <c r="L9" s="26">
        <f>$I9*EXP(($F9-0.5*$C9^2)*$E9+$C9*SQRT($E9)*$G$2)</f>
        <v>65.303979178134526</v>
      </c>
      <c r="M9" s="25">
        <f>$I9*EXP(($F9-0.5*$C9^2)*$E9+$C9*SQRT($E9)*$F$2)</f>
        <v>71.648121189593368</v>
      </c>
      <c r="N9" s="25">
        <f t="shared" si="7"/>
        <v>18.898121189593368</v>
      </c>
      <c r="O9" s="25">
        <f t="shared" si="8"/>
        <v>-14.61847749827519</v>
      </c>
      <c r="P9" s="25">
        <f t="shared" si="9"/>
        <v>700477.76001346775</v>
      </c>
      <c r="Q9" s="25">
        <f t="shared" si="10"/>
        <v>-541848.48695106816</v>
      </c>
      <c r="R9" s="26">
        <f t="shared" si="1"/>
        <v>12.553979178134526</v>
      </c>
      <c r="S9" s="25">
        <f t="shared" si="2"/>
        <v>-10.914081580773761</v>
      </c>
      <c r="T9" s="35">
        <v>37066</v>
      </c>
      <c r="U9" s="26">
        <f t="shared" si="3"/>
        <v>465325.79221673432</v>
      </c>
      <c r="V9" s="26">
        <f t="shared" si="4"/>
        <v>-404541.34787296021</v>
      </c>
      <c r="W9" s="17"/>
      <c r="X9" s="18"/>
    </row>
    <row r="10" spans="1:24" x14ac:dyDescent="0.15">
      <c r="A10">
        <f t="shared" si="5"/>
        <v>31</v>
      </c>
      <c r="B10" s="19"/>
      <c r="C10" s="6">
        <v>0.41316346682126198</v>
      </c>
      <c r="D10" s="13"/>
      <c r="E10" s="29">
        <f>G7/12</f>
        <v>0.16666666666666666</v>
      </c>
      <c r="F10" s="28">
        <f t="shared" si="0"/>
        <v>0</v>
      </c>
      <c r="G10" s="1">
        <v>5</v>
      </c>
      <c r="H10" s="21">
        <v>46143</v>
      </c>
      <c r="I10" s="16">
        <v>48</v>
      </c>
      <c r="J10" s="25">
        <f t="shared" ref="J10:J73" si="11">$I10*EXP(($F10-0.5*$C10^2)*$E10-$C10*SQRT($E10)*$F$2)</f>
        <v>31.943443014032191</v>
      </c>
      <c r="K10" s="25">
        <f t="shared" ref="K10:K73" si="12">$I10*EXP(($F10-0.5*$C10^2)*$E10-$C10*SQRT($E10)*$G$2)</f>
        <v>35.855900046104452</v>
      </c>
      <c r="L10" s="26">
        <f t="shared" ref="L10:L73" si="13">$I10*EXP(($F10-0.5*$C10^2)*$E10+$C10*SQRT($E10)*$G$2)</f>
        <v>62.454807635041867</v>
      </c>
      <c r="M10" s="25">
        <f t="shared" ref="M10:M73" si="14">$I10*EXP(($F10-0.5*$C10^2)*$E10+$C10*SQRT($E10)*$F$2)</f>
        <v>70.104319655743595</v>
      </c>
      <c r="N10" s="25">
        <f t="shared" si="7"/>
        <v>22.104319655743595</v>
      </c>
      <c r="O10" s="25">
        <f t="shared" si="8"/>
        <v>-16.056556985967809</v>
      </c>
      <c r="P10" s="25">
        <f t="shared" si="9"/>
        <v>744827.15511993621</v>
      </c>
      <c r="Q10" s="25">
        <f t="shared" si="10"/>
        <v>-541041.74419917131</v>
      </c>
      <c r="R10" s="26">
        <f t="shared" si="1"/>
        <v>14.454807635041867</v>
      </c>
      <c r="S10" s="25">
        <f t="shared" si="2"/>
        <v>-12.144099953895548</v>
      </c>
      <c r="T10" s="35">
        <v>33696</v>
      </c>
      <c r="U10" s="26">
        <f t="shared" si="3"/>
        <v>487069.19807037077</v>
      </c>
      <c r="V10" s="26">
        <f t="shared" si="4"/>
        <v>-409207.59204646439</v>
      </c>
      <c r="W10" s="17"/>
      <c r="X10" s="18"/>
    </row>
    <row r="11" spans="1:24" x14ac:dyDescent="0.15">
      <c r="A11">
        <f t="shared" si="5"/>
        <v>30</v>
      </c>
      <c r="B11" s="19"/>
      <c r="C11" s="6">
        <v>0.33466600718025602</v>
      </c>
      <c r="D11" s="13"/>
      <c r="E11" s="29">
        <f>G8/12</f>
        <v>0.25</v>
      </c>
      <c r="F11" s="28">
        <f t="shared" si="0"/>
        <v>0</v>
      </c>
      <c r="G11" s="1">
        <v>6</v>
      </c>
      <c r="H11" s="21">
        <v>46174</v>
      </c>
      <c r="I11" s="16">
        <v>63</v>
      </c>
      <c r="J11" s="25">
        <f t="shared" si="11"/>
        <v>42.066372181776195</v>
      </c>
      <c r="K11" s="25">
        <f t="shared" si="12"/>
        <v>47.175362172635602</v>
      </c>
      <c r="L11" s="26">
        <f t="shared" si="13"/>
        <v>81.809825313456528</v>
      </c>
      <c r="M11" s="25">
        <f t="shared" si="14"/>
        <v>91.745685170215793</v>
      </c>
      <c r="N11" s="25">
        <f t="shared" si="7"/>
        <v>28.745685170215793</v>
      </c>
      <c r="O11" s="25">
        <f t="shared" si="8"/>
        <v>-20.933627818223805</v>
      </c>
      <c r="P11" s="25">
        <f t="shared" si="9"/>
        <v>1420640.5067972348</v>
      </c>
      <c r="Q11" s="25">
        <f t="shared" si="10"/>
        <v>-1034560.8204044387</v>
      </c>
      <c r="R11" s="26">
        <f t="shared" si="1"/>
        <v>18.809825313456528</v>
      </c>
      <c r="S11" s="25">
        <f t="shared" si="2"/>
        <v>-15.824637827364398</v>
      </c>
      <c r="T11" s="35">
        <v>49421</v>
      </c>
      <c r="U11" s="26">
        <f t="shared" si="3"/>
        <v>929600.37681633513</v>
      </c>
      <c r="V11" s="26">
        <f t="shared" si="4"/>
        <v>-782069.42606617592</v>
      </c>
      <c r="W11" s="17"/>
      <c r="X11" s="18"/>
    </row>
    <row r="12" spans="1:24" x14ac:dyDescent="0.15">
      <c r="A12">
        <f t="shared" si="5"/>
        <v>31</v>
      </c>
      <c r="B12" s="19"/>
      <c r="C12" s="6">
        <v>0.248254099870897</v>
      </c>
      <c r="D12" s="13"/>
      <c r="E12" s="29">
        <f>G9/12</f>
        <v>0.33333333333333331</v>
      </c>
      <c r="F12" s="28">
        <f t="shared" si="0"/>
        <v>0</v>
      </c>
      <c r="G12" s="1">
        <v>7</v>
      </c>
      <c r="H12" s="21">
        <v>46204</v>
      </c>
      <c r="I12" s="16">
        <v>94</v>
      </c>
      <c r="J12" s="25">
        <f t="shared" si="11"/>
        <v>66.624021647913111</v>
      </c>
      <c r="K12" s="25">
        <f t="shared" si="12"/>
        <v>73.497100342623455</v>
      </c>
      <c r="L12" s="26">
        <f t="shared" si="13"/>
        <v>117.77785249791665</v>
      </c>
      <c r="M12" s="25">
        <f t="shared" si="14"/>
        <v>129.92807142330818</v>
      </c>
      <c r="N12" s="25">
        <f t="shared" si="7"/>
        <v>35.928071423308182</v>
      </c>
      <c r="O12" s="25">
        <f t="shared" si="8"/>
        <v>-27.375978352086889</v>
      </c>
      <c r="P12" s="25">
        <f t="shared" si="9"/>
        <v>1856295.6662280639</v>
      </c>
      <c r="Q12" s="25">
        <f t="shared" si="10"/>
        <v>-1414434.6735172733</v>
      </c>
      <c r="R12" s="26">
        <f t="shared" si="1"/>
        <v>23.777852497916655</v>
      </c>
      <c r="S12" s="25">
        <f t="shared" si="2"/>
        <v>-20.502899657376545</v>
      </c>
      <c r="T12" s="35">
        <v>51667</v>
      </c>
      <c r="U12" s="26">
        <f t="shared" si="3"/>
        <v>1228530.3050098598</v>
      </c>
      <c r="V12" s="26">
        <f t="shared" si="4"/>
        <v>-1059323.316597674</v>
      </c>
      <c r="W12" s="17"/>
      <c r="X12" s="18"/>
    </row>
    <row r="13" spans="1:24" x14ac:dyDescent="0.15">
      <c r="A13">
        <f t="shared" si="5"/>
        <v>31</v>
      </c>
      <c r="B13" s="19"/>
      <c r="C13" s="6">
        <v>0.31009021745260401</v>
      </c>
      <c r="D13" s="13"/>
      <c r="E13" s="29">
        <f>G10/12</f>
        <v>0.41666666666666669</v>
      </c>
      <c r="F13" s="28">
        <f t="shared" si="0"/>
        <v>0</v>
      </c>
      <c r="G13" s="1">
        <v>8</v>
      </c>
      <c r="H13" s="21">
        <v>46235</v>
      </c>
      <c r="I13" s="16">
        <v>75</v>
      </c>
      <c r="J13" s="25">
        <f t="shared" si="11"/>
        <v>46.112187797179494</v>
      </c>
      <c r="K13" s="25">
        <f t="shared" si="12"/>
        <v>52.888637254387824</v>
      </c>
      <c r="L13" s="26">
        <f t="shared" si="13"/>
        <v>102.17864794765636</v>
      </c>
      <c r="M13" s="25">
        <f t="shared" si="14"/>
        <v>117.19438405778575</v>
      </c>
      <c r="N13" s="25">
        <f t="shared" si="7"/>
        <v>42.194384057785754</v>
      </c>
      <c r="O13" s="25">
        <f t="shared" si="8"/>
        <v>-28.887812202820506</v>
      </c>
      <c r="P13" s="25">
        <f t="shared" si="9"/>
        <v>1990477.8735419852</v>
      </c>
      <c r="Q13" s="25">
        <f t="shared" si="10"/>
        <v>-1362753.6528558545</v>
      </c>
      <c r="R13" s="26">
        <f t="shared" si="1"/>
        <v>27.178647947656358</v>
      </c>
      <c r="S13" s="25">
        <f t="shared" si="2"/>
        <v>-22.111362745612176</v>
      </c>
      <c r="T13" s="35">
        <v>47174</v>
      </c>
      <c r="U13" s="26">
        <f t="shared" si="3"/>
        <v>1282125.5382827411</v>
      </c>
      <c r="V13" s="26">
        <f t="shared" si="4"/>
        <v>-1043081.4261615088</v>
      </c>
      <c r="W13" s="17"/>
      <c r="X13" s="18"/>
    </row>
    <row r="14" spans="1:24" x14ac:dyDescent="0.15">
      <c r="A14">
        <f t="shared" si="5"/>
        <v>30</v>
      </c>
      <c r="B14" s="19"/>
      <c r="C14" s="6">
        <v>0.32440751769279402</v>
      </c>
      <c r="D14" s="13"/>
      <c r="E14" s="29">
        <f>G11/12</f>
        <v>0.5</v>
      </c>
      <c r="F14" s="28">
        <f t="shared" si="0"/>
        <v>0</v>
      </c>
      <c r="G14" s="1">
        <v>9</v>
      </c>
      <c r="H14" s="21">
        <v>46266</v>
      </c>
      <c r="I14" s="16">
        <v>52</v>
      </c>
      <c r="J14" s="25">
        <f t="shared" si="11"/>
        <v>29.679399884896618</v>
      </c>
      <c r="K14" s="25">
        <f t="shared" si="12"/>
        <v>34.729374845924674</v>
      </c>
      <c r="L14" s="26">
        <f t="shared" si="13"/>
        <v>73.868128207091331</v>
      </c>
      <c r="M14" s="25">
        <f t="shared" si="14"/>
        <v>86.436852618990628</v>
      </c>
      <c r="N14" s="25">
        <f t="shared" si="7"/>
        <v>34.436852618990628</v>
      </c>
      <c r="O14" s="25">
        <f t="shared" si="8"/>
        <v>-22.320600115103382</v>
      </c>
      <c r="P14" s="25">
        <f t="shared" si="9"/>
        <v>1218410.2825125074</v>
      </c>
      <c r="Q14" s="25">
        <f t="shared" si="10"/>
        <v>-789725.15267247276</v>
      </c>
      <c r="R14" s="26">
        <f t="shared" si="1"/>
        <v>21.868128207091331</v>
      </c>
      <c r="S14" s="25">
        <f t="shared" si="2"/>
        <v>-17.270625154075326</v>
      </c>
      <c r="T14" s="35">
        <v>35381</v>
      </c>
      <c r="U14" s="26">
        <f t="shared" si="3"/>
        <v>773716.24409509834</v>
      </c>
      <c r="V14" s="26">
        <f t="shared" si="4"/>
        <v>-611051.98857633909</v>
      </c>
      <c r="W14" s="17"/>
      <c r="X14" s="18"/>
    </row>
    <row r="15" spans="1:24" x14ac:dyDescent="0.15">
      <c r="A15">
        <f t="shared" si="5"/>
        <v>31</v>
      </c>
      <c r="B15" s="19"/>
      <c r="C15" s="6">
        <v>0.31907349055954098</v>
      </c>
      <c r="D15" s="13"/>
      <c r="E15" s="29">
        <f>G12/12</f>
        <v>0.58333333333333337</v>
      </c>
      <c r="F15" s="28">
        <f t="shared" si="0"/>
        <v>0</v>
      </c>
      <c r="G15" s="1">
        <v>10</v>
      </c>
      <c r="H15" s="21">
        <v>46296</v>
      </c>
      <c r="I15" s="16">
        <v>50</v>
      </c>
      <c r="J15" s="25">
        <f t="shared" si="11"/>
        <v>27.509087812399287</v>
      </c>
      <c r="K15" s="25">
        <f t="shared" si="12"/>
        <v>32.506772511071276</v>
      </c>
      <c r="L15" s="26">
        <f t="shared" si="13"/>
        <v>72.472676941378438</v>
      </c>
      <c r="M15" s="25">
        <f t="shared" si="14"/>
        <v>85.63907457301751</v>
      </c>
      <c r="N15" s="25">
        <f t="shared" si="7"/>
        <v>35.63907457301751</v>
      </c>
      <c r="O15" s="25">
        <f t="shared" si="8"/>
        <v>-22.490912187600713</v>
      </c>
      <c r="P15" s="25">
        <f t="shared" si="9"/>
        <v>1320997.9381234669</v>
      </c>
      <c r="Q15" s="25">
        <f t="shared" si="10"/>
        <v>-833648.15114560805</v>
      </c>
      <c r="R15" s="26">
        <f t="shared" si="1"/>
        <v>22.472676941378438</v>
      </c>
      <c r="S15" s="25">
        <f t="shared" si="2"/>
        <v>-17.493227488928724</v>
      </c>
      <c r="T15" s="35">
        <v>37066</v>
      </c>
      <c r="U15" s="26">
        <f t="shared" si="3"/>
        <v>832972.24350913323</v>
      </c>
      <c r="V15" s="26">
        <f t="shared" si="4"/>
        <v>-648403.97010463208</v>
      </c>
      <c r="W15" s="17"/>
      <c r="X15" s="18"/>
    </row>
    <row r="16" spans="1:24" x14ac:dyDescent="0.15">
      <c r="A16">
        <f t="shared" si="5"/>
        <v>30</v>
      </c>
      <c r="B16" s="19"/>
      <c r="C16" s="6">
        <v>0.30034073913102899</v>
      </c>
      <c r="D16" s="13"/>
      <c r="E16" s="29">
        <f>G13/12</f>
        <v>0.66666666666666663</v>
      </c>
      <c r="F16" s="28">
        <f t="shared" si="0"/>
        <v>0</v>
      </c>
      <c r="G16" s="1">
        <v>11</v>
      </c>
      <c r="H16" s="21">
        <v>46327</v>
      </c>
      <c r="I16" s="16">
        <v>71.650000000000006</v>
      </c>
      <c r="J16" s="25">
        <f t="shared" si="11"/>
        <v>39.265474563975062</v>
      </c>
      <c r="K16" s="25">
        <f t="shared" si="12"/>
        <v>46.447667363140638</v>
      </c>
      <c r="L16" s="26">
        <f t="shared" si="13"/>
        <v>104.07623815075269</v>
      </c>
      <c r="M16" s="25">
        <f t="shared" si="14"/>
        <v>123.11320679843033</v>
      </c>
      <c r="N16" s="25">
        <f t="shared" si="7"/>
        <v>51.463206798430321</v>
      </c>
      <c r="O16" s="25">
        <f t="shared" si="8"/>
        <v>-32.384525436024944</v>
      </c>
      <c r="P16" s="25">
        <f t="shared" si="9"/>
        <v>2312138.9550398774</v>
      </c>
      <c r="Q16" s="25">
        <f t="shared" si="10"/>
        <v>-1454971.9587897286</v>
      </c>
      <c r="R16" s="26">
        <f t="shared" si="1"/>
        <v>32.426238150752681</v>
      </c>
      <c r="S16" s="25">
        <f t="shared" si="2"/>
        <v>-25.202332636859367</v>
      </c>
      <c r="T16" s="35">
        <v>44928</v>
      </c>
      <c r="U16" s="26">
        <f t="shared" si="3"/>
        <v>1456846.0276370165</v>
      </c>
      <c r="V16" s="26">
        <f t="shared" si="4"/>
        <v>-1132290.4007088176</v>
      </c>
      <c r="W16" s="17"/>
      <c r="X16" s="18"/>
    </row>
    <row r="17" spans="1:24" x14ac:dyDescent="0.15">
      <c r="A17">
        <f t="shared" si="5"/>
        <v>31</v>
      </c>
      <c r="B17" s="19"/>
      <c r="C17" s="6">
        <v>0.30997458796932897</v>
      </c>
      <c r="D17" s="13"/>
      <c r="E17" s="29">
        <f>G14/12</f>
        <v>0.75</v>
      </c>
      <c r="F17" s="28">
        <f t="shared" si="0"/>
        <v>0</v>
      </c>
      <c r="G17" s="1">
        <v>12</v>
      </c>
      <c r="H17" s="21">
        <v>46357</v>
      </c>
      <c r="I17" s="16">
        <v>116.5</v>
      </c>
      <c r="J17" s="25">
        <f t="shared" si="11"/>
        <v>60.122299298128304</v>
      </c>
      <c r="K17" s="25">
        <f t="shared" si="12"/>
        <v>72.259675044608386</v>
      </c>
      <c r="L17" s="26">
        <f t="shared" si="13"/>
        <v>174.7669082872969</v>
      </c>
      <c r="M17" s="25">
        <f t="shared" si="14"/>
        <v>210.04852024653184</v>
      </c>
      <c r="N17" s="25">
        <f t="shared" si="7"/>
        <v>93.548520246531837</v>
      </c>
      <c r="O17" s="25">
        <f t="shared" si="8"/>
        <v>-56.377700701871696</v>
      </c>
      <c r="P17" s="25">
        <f t="shared" si="9"/>
        <v>4623261.4191038497</v>
      </c>
      <c r="Q17" s="25">
        <f t="shared" si="10"/>
        <v>-2786242.346387201</v>
      </c>
      <c r="R17" s="26">
        <f t="shared" si="1"/>
        <v>58.2669082872969</v>
      </c>
      <c r="S17" s="25">
        <f t="shared" si="2"/>
        <v>-44.240324955391614</v>
      </c>
      <c r="T17" s="35">
        <v>49421</v>
      </c>
      <c r="U17" s="26">
        <f t="shared" si="3"/>
        <v>2879608.8744665002</v>
      </c>
      <c r="V17" s="26">
        <f t="shared" si="4"/>
        <v>-2186401.0996204088</v>
      </c>
      <c r="W17" s="17"/>
      <c r="X17" s="18"/>
    </row>
    <row r="18" spans="1:24" x14ac:dyDescent="0.15">
      <c r="A18">
        <f t="shared" si="5"/>
        <v>31</v>
      </c>
      <c r="B18" s="19"/>
      <c r="C18" s="6">
        <v>0.30856031824480601</v>
      </c>
      <c r="D18" s="13"/>
      <c r="E18" s="29">
        <f>G15/12</f>
        <v>0.83333333333333337</v>
      </c>
      <c r="F18" s="28">
        <f t="shared" si="0"/>
        <v>0</v>
      </c>
      <c r="G18" s="1">
        <v>13</v>
      </c>
      <c r="H18" s="21">
        <v>46388</v>
      </c>
      <c r="I18" s="16">
        <v>153</v>
      </c>
      <c r="J18" s="25">
        <f t="shared" si="11"/>
        <v>76.283969993472297</v>
      </c>
      <c r="K18" s="25">
        <f t="shared" si="12"/>
        <v>92.518692882575635</v>
      </c>
      <c r="L18" s="26">
        <f t="shared" si="13"/>
        <v>233.7200212179381</v>
      </c>
      <c r="M18" s="25">
        <f t="shared" si="14"/>
        <v>283.46021930192956</v>
      </c>
      <c r="N18" s="25">
        <f t="shared" si="7"/>
        <v>130.46021930192956</v>
      </c>
      <c r="O18" s="25">
        <f t="shared" si="8"/>
        <v>-76.716030006527703</v>
      </c>
      <c r="P18" s="25">
        <f t="shared" si="9"/>
        <v>5861316.7327970909</v>
      </c>
      <c r="Q18" s="25">
        <f t="shared" si="10"/>
        <v>-3446697.7961332765</v>
      </c>
      <c r="R18" s="26">
        <f t="shared" si="1"/>
        <v>80.720021217938097</v>
      </c>
      <c r="S18" s="25">
        <f t="shared" si="2"/>
        <v>-60.481307117424365</v>
      </c>
      <c r="T18" s="35">
        <v>44928</v>
      </c>
      <c r="U18" s="26">
        <f t="shared" si="3"/>
        <v>3626589.1132795229</v>
      </c>
      <c r="V18" s="26">
        <f t="shared" si="4"/>
        <v>-2717304.166171642</v>
      </c>
      <c r="W18" s="17"/>
      <c r="X18" s="18"/>
    </row>
    <row r="19" spans="1:24" x14ac:dyDescent="0.15">
      <c r="A19">
        <f t="shared" si="5"/>
        <v>28</v>
      </c>
      <c r="B19" s="19"/>
      <c r="C19" s="6">
        <v>0.41531716523460299</v>
      </c>
      <c r="D19" s="13"/>
      <c r="E19" s="29">
        <f>G16/12</f>
        <v>0.91666666666666663</v>
      </c>
      <c r="F19" s="28">
        <f t="shared" si="0"/>
        <v>0</v>
      </c>
      <c r="G19" s="1">
        <v>14</v>
      </c>
      <c r="H19" s="21">
        <v>46419</v>
      </c>
      <c r="I19" s="16">
        <v>134</v>
      </c>
      <c r="J19" s="25">
        <f t="shared" si="11"/>
        <v>49.023068100139376</v>
      </c>
      <c r="K19" s="25">
        <f t="shared" si="12"/>
        <v>64.371537093668891</v>
      </c>
      <c r="L19" s="26">
        <f t="shared" si="13"/>
        <v>238.14833035462195</v>
      </c>
      <c r="M19" s="25">
        <f t="shared" si="14"/>
        <v>312.70939733725629</v>
      </c>
      <c r="N19" s="25">
        <f t="shared" si="7"/>
        <v>178.70939733725629</v>
      </c>
      <c r="O19" s="25">
        <f t="shared" si="8"/>
        <v>-84.976931899860631</v>
      </c>
      <c r="P19" s="25">
        <f t="shared" si="9"/>
        <v>8029055.8035682505</v>
      </c>
      <c r="Q19" s="25">
        <f t="shared" si="10"/>
        <v>-3817843.5963969384</v>
      </c>
      <c r="R19" s="26">
        <f t="shared" si="1"/>
        <v>104.14833035462195</v>
      </c>
      <c r="S19" s="25">
        <f t="shared" si="2"/>
        <v>-69.628462906331109</v>
      </c>
      <c r="T19" s="35">
        <v>44928</v>
      </c>
      <c r="U19" s="26">
        <f t="shared" si="3"/>
        <v>4679176.1861724546</v>
      </c>
      <c r="V19" s="26">
        <f t="shared" si="4"/>
        <v>-3128267.5814556442</v>
      </c>
      <c r="W19" s="17"/>
      <c r="X19" s="18"/>
    </row>
    <row r="20" spans="1:24" x14ac:dyDescent="0.15">
      <c r="A20">
        <f t="shared" si="5"/>
        <v>31</v>
      </c>
      <c r="B20" s="19"/>
      <c r="C20" s="6">
        <v>0.23083922329718301</v>
      </c>
      <c r="D20" s="13"/>
      <c r="E20" s="29">
        <f>G17/12</f>
        <v>1</v>
      </c>
      <c r="F20" s="28">
        <f t="shared" si="0"/>
        <v>0</v>
      </c>
      <c r="G20" s="1">
        <v>15</v>
      </c>
      <c r="H20" s="21">
        <v>46447</v>
      </c>
      <c r="I20" s="16">
        <v>74</v>
      </c>
      <c r="J20" s="25">
        <f t="shared" si="11"/>
        <v>42.079737463112203</v>
      </c>
      <c r="K20" s="25">
        <f t="shared" si="12"/>
        <v>49.288520171628178</v>
      </c>
      <c r="L20" s="26">
        <f t="shared" si="13"/>
        <v>105.3356840944147</v>
      </c>
      <c r="M20" s="25">
        <f t="shared" si="14"/>
        <v>123.38099767925279</v>
      </c>
      <c r="N20" s="25">
        <f t="shared" si="7"/>
        <v>49.380997679252786</v>
      </c>
      <c r="O20" s="25">
        <f t="shared" si="8"/>
        <v>-31.920262536887797</v>
      </c>
      <c r="P20" s="25">
        <f t="shared" si="9"/>
        <v>2551368.0070939539</v>
      </c>
      <c r="Q20" s="25">
        <f t="shared" si="10"/>
        <v>-1649224.2044933818</v>
      </c>
      <c r="R20" s="26">
        <f t="shared" si="1"/>
        <v>31.335684094414702</v>
      </c>
      <c r="S20" s="25">
        <f t="shared" si="2"/>
        <v>-24.711479828371822</v>
      </c>
      <c r="T20" s="35">
        <v>51667</v>
      </c>
      <c r="U20" s="26">
        <f t="shared" si="3"/>
        <v>1619020.7901061245</v>
      </c>
      <c r="V20" s="26">
        <f t="shared" si="4"/>
        <v>-1276768.0282924869</v>
      </c>
      <c r="W20" s="17"/>
      <c r="X20" s="18"/>
    </row>
    <row r="21" spans="1:24" x14ac:dyDescent="0.15">
      <c r="A21">
        <f t="shared" si="5"/>
        <v>30</v>
      </c>
      <c r="B21" s="19"/>
      <c r="C21" s="6">
        <v>0.158604125657372</v>
      </c>
      <c r="D21" s="13"/>
      <c r="E21" s="29">
        <f>G18/12</f>
        <v>1.0833333333333333</v>
      </c>
      <c r="F21" s="28">
        <f t="shared" si="0"/>
        <v>0</v>
      </c>
      <c r="G21" s="1">
        <v>16</v>
      </c>
      <c r="H21" s="21">
        <v>46478</v>
      </c>
      <c r="I21" s="16">
        <v>51.75</v>
      </c>
      <c r="J21" s="25">
        <f t="shared" si="11"/>
        <v>34.749365444604315</v>
      </c>
      <c r="K21" s="25">
        <f t="shared" si="12"/>
        <v>38.909614935203827</v>
      </c>
      <c r="L21" s="26">
        <f t="shared" si="13"/>
        <v>66.977445780210587</v>
      </c>
      <c r="M21" s="25">
        <f t="shared" si="14"/>
        <v>74.996092484219517</v>
      </c>
      <c r="N21" s="25">
        <f t="shared" si="7"/>
        <v>23.246092484219517</v>
      </c>
      <c r="O21" s="25">
        <f t="shared" si="8"/>
        <v>-17.000634555395685</v>
      </c>
      <c r="P21" s="25">
        <f t="shared" si="9"/>
        <v>861639.66402008059</v>
      </c>
      <c r="Q21" s="25">
        <f t="shared" si="10"/>
        <v>-630145.52043029643</v>
      </c>
      <c r="R21" s="26">
        <f t="shared" si="1"/>
        <v>15.227445780210587</v>
      </c>
      <c r="S21" s="25">
        <f t="shared" si="2"/>
        <v>-12.840385064796173</v>
      </c>
      <c r="T21" s="35">
        <v>37066</v>
      </c>
      <c r="U21" s="26">
        <f t="shared" si="3"/>
        <v>564420.50528928568</v>
      </c>
      <c r="V21" s="26">
        <f t="shared" si="4"/>
        <v>-475941.71281173493</v>
      </c>
      <c r="W21" s="17"/>
      <c r="X21" s="18"/>
    </row>
    <row r="22" spans="1:24" x14ac:dyDescent="0.15">
      <c r="A22">
        <f t="shared" si="5"/>
        <v>31</v>
      </c>
      <c r="B22" s="19"/>
      <c r="C22" s="6">
        <v>0.29103303151502102</v>
      </c>
      <c r="D22" s="13"/>
      <c r="E22" s="29">
        <f>G19/12</f>
        <v>1.1666666666666667</v>
      </c>
      <c r="F22" s="28">
        <f t="shared" si="0"/>
        <v>0</v>
      </c>
      <c r="G22" s="1">
        <v>17</v>
      </c>
      <c r="H22" s="21">
        <v>46508</v>
      </c>
      <c r="I22" s="16">
        <v>45.25</v>
      </c>
      <c r="J22" s="25">
        <f t="shared" si="11"/>
        <v>20.704580845669561</v>
      </c>
      <c r="K22" s="25">
        <f t="shared" si="12"/>
        <v>25.679315411659431</v>
      </c>
      <c r="L22" s="26">
        <f t="shared" si="13"/>
        <v>72.233403450560047</v>
      </c>
      <c r="M22" s="25">
        <f t="shared" si="14"/>
        <v>89.589080034553831</v>
      </c>
      <c r="N22" s="25">
        <f t="shared" si="7"/>
        <v>44.339080034553831</v>
      </c>
      <c r="O22" s="25">
        <f t="shared" si="8"/>
        <v>-24.545419154330439</v>
      </c>
      <c r="P22" s="25">
        <f t="shared" si="9"/>
        <v>1494049.640844326</v>
      </c>
      <c r="Q22" s="25">
        <f t="shared" si="10"/>
        <v>-827082.44382431847</v>
      </c>
      <c r="R22" s="26">
        <f t="shared" si="1"/>
        <v>26.983403450560047</v>
      </c>
      <c r="S22" s="25">
        <f t="shared" si="2"/>
        <v>-19.570684588340569</v>
      </c>
      <c r="T22" s="35">
        <v>33696</v>
      </c>
      <c r="U22" s="26">
        <f t="shared" si="3"/>
        <v>909232.76267007133</v>
      </c>
      <c r="V22" s="26">
        <f t="shared" si="4"/>
        <v>-659453.78788872377</v>
      </c>
      <c r="W22" s="17"/>
      <c r="X22" s="18"/>
    </row>
    <row r="23" spans="1:24" x14ac:dyDescent="0.15">
      <c r="A23">
        <f t="shared" si="5"/>
        <v>30</v>
      </c>
      <c r="B23" s="19"/>
      <c r="C23" s="6">
        <v>0.17372147745382199</v>
      </c>
      <c r="D23" s="13"/>
      <c r="E23" s="29">
        <f>G20/12</f>
        <v>1.25</v>
      </c>
      <c r="F23" s="28">
        <f t="shared" si="0"/>
        <v>0</v>
      </c>
      <c r="G23" s="1">
        <v>18</v>
      </c>
      <c r="H23" s="21">
        <v>46539</v>
      </c>
      <c r="I23" s="16">
        <v>57</v>
      </c>
      <c r="J23" s="25">
        <f t="shared" si="11"/>
        <v>35.574942044383761</v>
      </c>
      <c r="K23" s="25">
        <f t="shared" si="12"/>
        <v>40.637312781302597</v>
      </c>
      <c r="L23" s="26">
        <f t="shared" si="13"/>
        <v>76.991260655475102</v>
      </c>
      <c r="M23" s="25">
        <f t="shared" si="14"/>
        <v>87.947239289382651</v>
      </c>
      <c r="N23" s="25">
        <f t="shared" si="7"/>
        <v>30.947239289382651</v>
      </c>
      <c r="O23" s="25">
        <f t="shared" si="8"/>
        <v>-21.425057955616239</v>
      </c>
      <c r="P23" s="25">
        <f t="shared" si="9"/>
        <v>1529443.5129205801</v>
      </c>
      <c r="Q23" s="25">
        <f t="shared" si="10"/>
        <v>-1058847.7892245101</v>
      </c>
      <c r="R23" s="26">
        <f t="shared" si="1"/>
        <v>19.991260655475102</v>
      </c>
      <c r="S23" s="25">
        <f t="shared" si="2"/>
        <v>-16.362687218697403</v>
      </c>
      <c r="T23" s="35">
        <v>49421</v>
      </c>
      <c r="U23" s="26">
        <f t="shared" si="3"/>
        <v>987988.09285423497</v>
      </c>
      <c r="V23" s="26">
        <f t="shared" si="4"/>
        <v>-808660.36503524438</v>
      </c>
      <c r="W23" s="17"/>
      <c r="X23" s="18"/>
    </row>
    <row r="24" spans="1:24" x14ac:dyDescent="0.15">
      <c r="A24">
        <f t="shared" si="5"/>
        <v>31</v>
      </c>
      <c r="B24" s="19"/>
      <c r="C24" s="6">
        <v>0.18976308965192901</v>
      </c>
      <c r="D24" s="13"/>
      <c r="E24" s="29">
        <f>G21/12</f>
        <v>1.3333333333333333</v>
      </c>
      <c r="F24" s="28">
        <f t="shared" si="0"/>
        <v>0</v>
      </c>
      <c r="G24" s="1">
        <v>19</v>
      </c>
      <c r="H24" s="21">
        <v>46569</v>
      </c>
      <c r="I24" s="16">
        <v>91.25</v>
      </c>
      <c r="J24" s="25">
        <f t="shared" si="11"/>
        <v>53.466098134119051</v>
      </c>
      <c r="K24" s="25">
        <f t="shared" si="12"/>
        <v>62.124762373096345</v>
      </c>
      <c r="L24" s="26">
        <f t="shared" si="13"/>
        <v>127.74651538777057</v>
      </c>
      <c r="M24" s="25">
        <f t="shared" si="14"/>
        <v>148.43465652848701</v>
      </c>
      <c r="N24" s="25">
        <f t="shared" si="7"/>
        <v>57.184656528487011</v>
      </c>
      <c r="O24" s="25">
        <f t="shared" si="8"/>
        <v>-37.783901865880949</v>
      </c>
      <c r="P24" s="25">
        <f t="shared" si="9"/>
        <v>2697628.9870748464</v>
      </c>
      <c r="Q24" s="25">
        <f t="shared" si="10"/>
        <v>-1782417.7866210679</v>
      </c>
      <c r="R24" s="26">
        <f t="shared" si="1"/>
        <v>36.496515387770572</v>
      </c>
      <c r="S24" s="25">
        <f t="shared" si="2"/>
        <v>-29.125237626903655</v>
      </c>
      <c r="T24" s="35">
        <v>47174</v>
      </c>
      <c r="U24" s="26">
        <f t="shared" si="3"/>
        <v>1721686.616902689</v>
      </c>
      <c r="V24" s="26">
        <f t="shared" si="4"/>
        <v>-1373953.9598115529</v>
      </c>
      <c r="W24" s="17"/>
      <c r="X24" s="18"/>
    </row>
    <row r="25" spans="1:24" x14ac:dyDescent="0.15">
      <c r="A25">
        <f t="shared" si="5"/>
        <v>31</v>
      </c>
      <c r="B25" s="19"/>
      <c r="C25" s="6">
        <v>0.24299042288452699</v>
      </c>
      <c r="D25" s="13"/>
      <c r="E25" s="29">
        <f>G22/12</f>
        <v>1.4166666666666667</v>
      </c>
      <c r="F25" s="28">
        <f t="shared" si="0"/>
        <v>0</v>
      </c>
      <c r="G25" s="1">
        <v>20</v>
      </c>
      <c r="H25" s="21">
        <v>46600</v>
      </c>
      <c r="I25" s="16">
        <v>72.849999999999994</v>
      </c>
      <c r="J25" s="25">
        <f t="shared" si="11"/>
        <v>35.612799886836434</v>
      </c>
      <c r="K25" s="25">
        <f t="shared" si="12"/>
        <v>43.415581197807725</v>
      </c>
      <c r="L25" s="26">
        <f t="shared" si="13"/>
        <v>112.43109201362164</v>
      </c>
      <c r="M25" s="25">
        <f t="shared" si="14"/>
        <v>137.0647974881594</v>
      </c>
      <c r="N25" s="25">
        <f t="shared" si="7"/>
        <v>64.214797488159405</v>
      </c>
      <c r="O25" s="25">
        <f t="shared" si="8"/>
        <v>-37.23720011316356</v>
      </c>
      <c r="P25" s="25">
        <f t="shared" si="9"/>
        <v>3173559.5066623259</v>
      </c>
      <c r="Q25" s="25">
        <f t="shared" si="10"/>
        <v>-1840299.6667926563</v>
      </c>
      <c r="R25" s="26">
        <f t="shared" si="1"/>
        <v>39.581092013621642</v>
      </c>
      <c r="S25" s="25">
        <f t="shared" si="2"/>
        <v>-29.434418802192269</v>
      </c>
      <c r="T25" s="35">
        <v>49421</v>
      </c>
      <c r="U25" s="26">
        <f t="shared" si="3"/>
        <v>1956137.1484051952</v>
      </c>
      <c r="V25" s="26">
        <f t="shared" si="4"/>
        <v>-1454678.4116231441</v>
      </c>
      <c r="W25" s="17"/>
      <c r="X25" s="18"/>
    </row>
    <row r="26" spans="1:24" x14ac:dyDescent="0.15">
      <c r="A26">
        <f t="shared" si="5"/>
        <v>30</v>
      </c>
      <c r="B26" s="19"/>
      <c r="C26" s="6">
        <v>0.17147114507733899</v>
      </c>
      <c r="D26" s="13"/>
      <c r="E26" s="29">
        <f>G23/12</f>
        <v>1.5</v>
      </c>
      <c r="F26" s="28">
        <f t="shared" si="0"/>
        <v>0</v>
      </c>
      <c r="G26" s="1">
        <v>21</v>
      </c>
      <c r="H26" s="21">
        <v>46631</v>
      </c>
      <c r="I26" s="16">
        <v>47.75</v>
      </c>
      <c r="J26" s="25">
        <f t="shared" si="11"/>
        <v>28.634369206870858</v>
      </c>
      <c r="K26" s="25">
        <f t="shared" si="12"/>
        <v>33.064608298316791</v>
      </c>
      <c r="L26" s="26">
        <f t="shared" si="13"/>
        <v>65.982603821404652</v>
      </c>
      <c r="M26" s="25">
        <f t="shared" si="14"/>
        <v>76.191269802244022</v>
      </c>
      <c r="N26" s="25">
        <f t="shared" si="7"/>
        <v>28.441269802244022</v>
      </c>
      <c r="O26" s="25">
        <f t="shared" si="8"/>
        <v>-19.115630793129142</v>
      </c>
      <c r="P26" s="25">
        <f t="shared" si="9"/>
        <v>1006280.5668731958</v>
      </c>
      <c r="Q26" s="25">
        <f t="shared" si="10"/>
        <v>-676330.13309170213</v>
      </c>
      <c r="R26" s="26">
        <f t="shared" si="1"/>
        <v>18.232603821404652</v>
      </c>
      <c r="S26" s="25">
        <f t="shared" si="2"/>
        <v>-14.685391701683209</v>
      </c>
      <c r="T26" s="35">
        <v>35381</v>
      </c>
      <c r="U26" s="26">
        <f t="shared" si="3"/>
        <v>645087.75580511801</v>
      </c>
      <c r="V26" s="26">
        <f t="shared" si="4"/>
        <v>-519583.84379725362</v>
      </c>
      <c r="W26" s="17"/>
      <c r="X26" s="18"/>
    </row>
    <row r="27" spans="1:24" x14ac:dyDescent="0.15">
      <c r="A27">
        <f t="shared" si="5"/>
        <v>31</v>
      </c>
      <c r="B27" s="19"/>
      <c r="C27" s="6">
        <v>0.26570565613998498</v>
      </c>
      <c r="D27" s="13"/>
      <c r="E27" s="29">
        <f>G24/12</f>
        <v>1.5833333333333333</v>
      </c>
      <c r="F27" s="28">
        <f t="shared" si="0"/>
        <v>0</v>
      </c>
      <c r="G27" s="1">
        <v>22</v>
      </c>
      <c r="H27" s="21">
        <v>46661</v>
      </c>
      <c r="I27" s="16">
        <v>47.75</v>
      </c>
      <c r="J27" s="25">
        <f t="shared" si="11"/>
        <v>20.719557089830467</v>
      </c>
      <c r="K27" s="25">
        <f t="shared" si="12"/>
        <v>26.052148045279036</v>
      </c>
      <c r="L27" s="26">
        <f t="shared" si="13"/>
        <v>78.263033326656753</v>
      </c>
      <c r="M27" s="25">
        <f t="shared" si="14"/>
        <v>98.405584726490503</v>
      </c>
      <c r="N27" s="25">
        <f t="shared" si="7"/>
        <v>50.655584726490503</v>
      </c>
      <c r="O27" s="25">
        <f t="shared" si="8"/>
        <v>-27.030442910169533</v>
      </c>
      <c r="P27" s="25">
        <f t="shared" si="9"/>
        <v>1792245.2432079604</v>
      </c>
      <c r="Q27" s="25">
        <f t="shared" si="10"/>
        <v>-956364.10060470831</v>
      </c>
      <c r="R27" s="26">
        <f t="shared" si="1"/>
        <v>30.513033326656753</v>
      </c>
      <c r="S27" s="25">
        <f t="shared" si="2"/>
        <v>-21.697851954720964</v>
      </c>
      <c r="T27" s="35">
        <v>35381</v>
      </c>
      <c r="U27" s="26">
        <f t="shared" si="3"/>
        <v>1079581.6321304427</v>
      </c>
      <c r="V27" s="26">
        <f t="shared" si="4"/>
        <v>-767691.70000998245</v>
      </c>
      <c r="W27" s="17"/>
      <c r="X27" s="18"/>
    </row>
    <row r="28" spans="1:24" x14ac:dyDescent="0.15">
      <c r="A28">
        <f t="shared" si="5"/>
        <v>30</v>
      </c>
      <c r="B28" s="19"/>
      <c r="C28" s="6">
        <v>0.28507823257333498</v>
      </c>
      <c r="D28" s="13"/>
      <c r="E28" s="29">
        <f>G25/12</f>
        <v>1.6666666666666667</v>
      </c>
      <c r="F28" s="28">
        <f t="shared" si="0"/>
        <v>0</v>
      </c>
      <c r="G28" s="1">
        <v>23</v>
      </c>
      <c r="H28" s="21">
        <v>46692</v>
      </c>
      <c r="I28" s="16">
        <v>63</v>
      </c>
      <c r="J28" s="25">
        <f t="shared" si="11"/>
        <v>24.975363331091071</v>
      </c>
      <c r="K28" s="25">
        <f t="shared" si="12"/>
        <v>32.136531852725028</v>
      </c>
      <c r="L28" s="26">
        <f t="shared" si="13"/>
        <v>107.85920019397356</v>
      </c>
      <c r="M28" s="25">
        <f t="shared" si="14"/>
        <v>138.78559349437307</v>
      </c>
      <c r="N28" s="25">
        <f t="shared" si="7"/>
        <v>75.785593494373074</v>
      </c>
      <c r="O28" s="25">
        <f t="shared" si="8"/>
        <v>-38.024636668908926</v>
      </c>
      <c r="P28" s="25">
        <f t="shared" si="9"/>
        <v>3575109.5875035552</v>
      </c>
      <c r="Q28" s="25">
        <f t="shared" si="10"/>
        <v>-1793774.2102191097</v>
      </c>
      <c r="R28" s="26">
        <f t="shared" si="1"/>
        <v>44.859200193973564</v>
      </c>
      <c r="S28" s="25">
        <f t="shared" si="2"/>
        <v>-30.863468147274972</v>
      </c>
      <c r="T28" s="35">
        <v>47174</v>
      </c>
      <c r="U28" s="26">
        <f t="shared" si="3"/>
        <v>2116187.9099505087</v>
      </c>
      <c r="V28" s="26">
        <f t="shared" si="4"/>
        <v>-1455953.2463795496</v>
      </c>
      <c r="W28" s="17"/>
      <c r="X28" s="18"/>
    </row>
    <row r="29" spans="1:24" x14ac:dyDescent="0.15">
      <c r="A29">
        <f t="shared" si="5"/>
        <v>31</v>
      </c>
      <c r="B29" s="19"/>
      <c r="C29" s="6">
        <v>0.204958271145224</v>
      </c>
      <c r="D29" s="13"/>
      <c r="E29" s="29">
        <f>G26/12</f>
        <v>1.75</v>
      </c>
      <c r="F29" s="28">
        <f t="shared" si="0"/>
        <v>0</v>
      </c>
      <c r="G29" s="1">
        <v>24</v>
      </c>
      <c r="H29" s="21">
        <v>46722</v>
      </c>
      <c r="I29" s="16">
        <v>98.5</v>
      </c>
      <c r="J29" s="25">
        <f t="shared" si="11"/>
        <v>50.478964546876412</v>
      </c>
      <c r="K29" s="25">
        <f t="shared" si="12"/>
        <v>60.78139302592696</v>
      </c>
      <c r="L29" s="26">
        <f t="shared" si="13"/>
        <v>148.31161653329173</v>
      </c>
      <c r="M29" s="25">
        <f t="shared" si="14"/>
        <v>178.58105323157596</v>
      </c>
      <c r="N29" s="25">
        <f t="shared" si="7"/>
        <v>80.081053231575964</v>
      </c>
      <c r="O29" s="25">
        <f t="shared" si="8"/>
        <v>-48.021035453123588</v>
      </c>
      <c r="P29" s="25">
        <f t="shared" si="9"/>
        <v>4137547.7773158355</v>
      </c>
      <c r="Q29" s="25">
        <f t="shared" si="10"/>
        <v>-2481102.8387565366</v>
      </c>
      <c r="R29" s="26">
        <f t="shared" si="1"/>
        <v>49.811616533291726</v>
      </c>
      <c r="S29" s="25">
        <f t="shared" si="2"/>
        <v>-37.71860697407304</v>
      </c>
      <c r="T29" s="35">
        <v>51667</v>
      </c>
      <c r="U29" s="26">
        <f t="shared" si="3"/>
        <v>2573616.7914255834</v>
      </c>
      <c r="V29" s="26">
        <f t="shared" si="4"/>
        <v>-1948807.2665294318</v>
      </c>
      <c r="W29" s="17"/>
      <c r="X29" s="18"/>
    </row>
    <row r="30" spans="1:24" x14ac:dyDescent="0.15">
      <c r="A30">
        <f t="shared" si="5"/>
        <v>31</v>
      </c>
      <c r="B30" s="19"/>
      <c r="C30" s="6">
        <v>0.32201799204367199</v>
      </c>
      <c r="D30" s="13"/>
      <c r="E30" s="29">
        <f>G27/12</f>
        <v>1.8333333333333333</v>
      </c>
      <c r="F30" s="28">
        <f t="shared" si="0"/>
        <v>0</v>
      </c>
      <c r="G30" s="1">
        <v>25</v>
      </c>
      <c r="H30" s="21">
        <v>46753</v>
      </c>
      <c r="I30" s="16">
        <v>147</v>
      </c>
      <c r="J30" s="25">
        <f t="shared" si="11"/>
        <v>48.398300251777243</v>
      </c>
      <c r="K30" s="25">
        <f t="shared" si="12"/>
        <v>65.24403169078586</v>
      </c>
      <c r="L30" s="26">
        <f t="shared" si="13"/>
        <v>273.86136832888087</v>
      </c>
      <c r="M30" s="25">
        <f t="shared" si="14"/>
        <v>369.18279570108149</v>
      </c>
      <c r="N30" s="25">
        <f t="shared" si="7"/>
        <v>222.18279570108149</v>
      </c>
      <c r="O30" s="25">
        <f t="shared" si="8"/>
        <v>-98.601699748222757</v>
      </c>
      <c r="P30" s="25">
        <f t="shared" si="9"/>
        <v>10481251.204402817</v>
      </c>
      <c r="Q30" s="25">
        <f t="shared" si="10"/>
        <v>-4651436.58392266</v>
      </c>
      <c r="R30" s="26">
        <f t="shared" si="1"/>
        <v>126.86136832888087</v>
      </c>
      <c r="S30" s="25">
        <f t="shared" si="2"/>
        <v>-81.75596830921414</v>
      </c>
      <c r="T30" s="35">
        <v>47174</v>
      </c>
      <c r="U30" s="26">
        <f t="shared" si="3"/>
        <v>5984558.1895466261</v>
      </c>
      <c r="V30" s="26">
        <f t="shared" si="4"/>
        <v>-3856756.0490188678</v>
      </c>
      <c r="W30" s="17"/>
      <c r="X30" s="18"/>
    </row>
    <row r="31" spans="1:24" x14ac:dyDescent="0.15">
      <c r="A31">
        <f t="shared" si="5"/>
        <v>29</v>
      </c>
      <c r="B31" s="19"/>
      <c r="C31" s="6">
        <v>0.43711572461168802</v>
      </c>
      <c r="D31" s="13"/>
      <c r="E31" s="29">
        <f>G28/12</f>
        <v>1.9166666666666667</v>
      </c>
      <c r="F31" s="28">
        <f t="shared" si="0"/>
        <v>0</v>
      </c>
      <c r="G31" s="1">
        <v>26</v>
      </c>
      <c r="H31" s="21">
        <v>46784</v>
      </c>
      <c r="I31" s="16">
        <v>128</v>
      </c>
      <c r="J31" s="25">
        <f t="shared" si="11"/>
        <v>26.020902372749028</v>
      </c>
      <c r="K31" s="25">
        <f t="shared" si="12"/>
        <v>39.38693984683438</v>
      </c>
      <c r="L31" s="26">
        <f t="shared" si="13"/>
        <v>288.41731510303327</v>
      </c>
      <c r="M31" s="25">
        <f t="shared" si="14"/>
        <v>436.56731338593119</v>
      </c>
      <c r="N31" s="25">
        <f t="shared" si="7"/>
        <v>308.56731338593119</v>
      </c>
      <c r="O31" s="25">
        <f t="shared" si="8"/>
        <v>-101.97909762725098</v>
      </c>
      <c r="P31" s="25">
        <f t="shared" si="9"/>
        <v>14556354.441667918</v>
      </c>
      <c r="Q31" s="25">
        <f t="shared" si="10"/>
        <v>-4810761.9514679378</v>
      </c>
      <c r="R31" s="26">
        <f t="shared" si="1"/>
        <v>160.41731510303327</v>
      </c>
      <c r="S31" s="25">
        <f t="shared" si="2"/>
        <v>-88.61306015316562</v>
      </c>
      <c r="T31" s="35">
        <v>47174</v>
      </c>
      <c r="U31" s="26">
        <f t="shared" si="3"/>
        <v>7567526.422670492</v>
      </c>
      <c r="V31" s="26">
        <f t="shared" si="4"/>
        <v>-4180232.4996654349</v>
      </c>
      <c r="W31" s="17"/>
      <c r="X31" s="18"/>
    </row>
    <row r="32" spans="1:24" x14ac:dyDescent="0.15">
      <c r="A32">
        <f t="shared" si="5"/>
        <v>31</v>
      </c>
      <c r="B32" s="19"/>
      <c r="C32" s="6">
        <v>0.252443483398546</v>
      </c>
      <c r="D32" s="13"/>
      <c r="E32" s="29">
        <f>G29/12</f>
        <v>2</v>
      </c>
      <c r="F32" s="28">
        <f t="shared" si="0"/>
        <v>0</v>
      </c>
      <c r="G32" s="1">
        <v>27</v>
      </c>
      <c r="H32" s="21">
        <v>46813</v>
      </c>
      <c r="I32" s="16">
        <v>68</v>
      </c>
      <c r="J32" s="25">
        <f t="shared" si="11"/>
        <v>27.769798010419322</v>
      </c>
      <c r="K32" s="25">
        <f t="shared" si="12"/>
        <v>35.463364979751162</v>
      </c>
      <c r="L32" s="26">
        <f t="shared" si="13"/>
        <v>114.78488305412195</v>
      </c>
      <c r="M32" s="25">
        <f t="shared" si="14"/>
        <v>146.58580521108061</v>
      </c>
      <c r="N32" s="25">
        <f t="shared" si="7"/>
        <v>78.585805211080611</v>
      </c>
      <c r="O32" s="25">
        <f t="shared" si="8"/>
        <v>-40.230201989580678</v>
      </c>
      <c r="P32" s="25">
        <f t="shared" si="9"/>
        <v>4060292.7978409021</v>
      </c>
      <c r="Q32" s="25">
        <f t="shared" si="10"/>
        <v>-2078573.846195665</v>
      </c>
      <c r="R32" s="26">
        <f t="shared" si="1"/>
        <v>46.784883054121948</v>
      </c>
      <c r="S32" s="25">
        <f t="shared" si="2"/>
        <v>-32.536635020248838</v>
      </c>
      <c r="T32" s="35">
        <v>51667</v>
      </c>
      <c r="U32" s="26">
        <f t="shared" si="3"/>
        <v>2417234.5527573186</v>
      </c>
      <c r="V32" s="26">
        <f t="shared" si="4"/>
        <v>-1681070.3215911966</v>
      </c>
      <c r="W32" s="17"/>
      <c r="X32" s="18"/>
    </row>
    <row r="33" spans="1:24" x14ac:dyDescent="0.15">
      <c r="A33">
        <f t="shared" si="5"/>
        <v>30</v>
      </c>
      <c r="B33" s="19"/>
      <c r="C33" s="6">
        <v>0.179797828089232</v>
      </c>
      <c r="D33" s="13"/>
      <c r="E33" s="29">
        <f>G30/12</f>
        <v>2.0833333333333335</v>
      </c>
      <c r="F33" s="28">
        <f t="shared" si="0"/>
        <v>0</v>
      </c>
      <c r="G33" s="1">
        <v>28</v>
      </c>
      <c r="H33" s="21">
        <v>46844</v>
      </c>
      <c r="I33" s="16">
        <v>45.75</v>
      </c>
      <c r="J33" s="25">
        <f t="shared" si="11"/>
        <v>24.163560253782279</v>
      </c>
      <c r="K33" s="25">
        <f t="shared" si="12"/>
        <v>28.864545836185105</v>
      </c>
      <c r="L33" s="26">
        <f t="shared" si="13"/>
        <v>67.790432600354009</v>
      </c>
      <c r="M33" s="25">
        <f t="shared" si="14"/>
        <v>80.97896288861034</v>
      </c>
      <c r="N33" s="25">
        <f t="shared" si="7"/>
        <v>35.22896288861034</v>
      </c>
      <c r="O33" s="25">
        <f t="shared" si="8"/>
        <v>-21.586439746217721</v>
      </c>
      <c r="P33" s="25">
        <f t="shared" si="9"/>
        <v>1187075.1334946139</v>
      </c>
      <c r="Q33" s="25">
        <f t="shared" si="10"/>
        <v>-727376.67368855234</v>
      </c>
      <c r="R33" s="26">
        <f t="shared" si="1"/>
        <v>22.040432600354009</v>
      </c>
      <c r="S33" s="25">
        <f t="shared" si="2"/>
        <v>-16.885454163814895</v>
      </c>
      <c r="T33" s="35">
        <v>33696</v>
      </c>
      <c r="U33" s="26">
        <f t="shared" si="3"/>
        <v>742674.41690152872</v>
      </c>
      <c r="V33" s="26">
        <f t="shared" si="4"/>
        <v>-568972.26350390667</v>
      </c>
      <c r="W33" s="17"/>
      <c r="X33" s="18"/>
    </row>
    <row r="34" spans="1:24" x14ac:dyDescent="0.15">
      <c r="A34">
        <f t="shared" si="5"/>
        <v>31</v>
      </c>
      <c r="B34" s="19"/>
      <c r="C34" s="6">
        <v>0.33412844340612302</v>
      </c>
      <c r="D34" s="13"/>
      <c r="E34" s="29">
        <f>G31/12</f>
        <v>2.1666666666666665</v>
      </c>
      <c r="F34" s="28">
        <f t="shared" si="0"/>
        <v>0</v>
      </c>
      <c r="G34" s="1">
        <v>29</v>
      </c>
      <c r="H34" s="21">
        <v>46874</v>
      </c>
      <c r="I34" s="16">
        <v>39.25</v>
      </c>
      <c r="J34" s="25">
        <f t="shared" si="11"/>
        <v>11.056923591487546</v>
      </c>
      <c r="K34" s="25">
        <f t="shared" si="12"/>
        <v>15.486304785057891</v>
      </c>
      <c r="L34" s="26">
        <f t="shared" si="13"/>
        <v>78.105167085469631</v>
      </c>
      <c r="M34" s="25">
        <f t="shared" si="14"/>
        <v>109.39393880813874</v>
      </c>
      <c r="N34" s="25">
        <f t="shared" si="7"/>
        <v>70.143938808138742</v>
      </c>
      <c r="O34" s="25">
        <f t="shared" si="8"/>
        <v>-28.193076408512454</v>
      </c>
      <c r="P34" s="25">
        <f t="shared" si="9"/>
        <v>2599955.2358624707</v>
      </c>
      <c r="Q34" s="25">
        <f t="shared" si="10"/>
        <v>-1045004.5701579226</v>
      </c>
      <c r="R34" s="26">
        <f t="shared" si="1"/>
        <v>38.855167085469631</v>
      </c>
      <c r="S34" s="25">
        <f t="shared" si="2"/>
        <v>-23.763695214942111</v>
      </c>
      <c r="T34" s="35">
        <v>37066</v>
      </c>
      <c r="U34" s="26">
        <f t="shared" si="3"/>
        <v>1440205.6231900174</v>
      </c>
      <c r="V34" s="26">
        <f t="shared" si="4"/>
        <v>-880825.12683704426</v>
      </c>
      <c r="W34" s="17"/>
      <c r="X34" s="18"/>
    </row>
    <row r="35" spans="1:24" x14ac:dyDescent="0.15">
      <c r="A35">
        <f t="shared" si="5"/>
        <v>30</v>
      </c>
      <c r="B35" s="19"/>
      <c r="C35" s="6">
        <v>0.19488234259911</v>
      </c>
      <c r="D35" s="13"/>
      <c r="E35" s="29">
        <f>G32/12</f>
        <v>2.25</v>
      </c>
      <c r="F35" s="28">
        <f t="shared" si="0"/>
        <v>0</v>
      </c>
      <c r="G35" s="1">
        <v>30</v>
      </c>
      <c r="H35" s="21">
        <v>46905</v>
      </c>
      <c r="I35" s="16">
        <v>51</v>
      </c>
      <c r="J35" s="25">
        <f t="shared" si="11"/>
        <v>24.729214721657275</v>
      </c>
      <c r="K35" s="25">
        <f t="shared" si="12"/>
        <v>30.211629528249524</v>
      </c>
      <c r="L35" s="26">
        <f t="shared" si="13"/>
        <v>79.041362760858064</v>
      </c>
      <c r="M35" s="25">
        <f t="shared" si="14"/>
        <v>96.564666367981928</v>
      </c>
      <c r="N35" s="25">
        <f t="shared" si="7"/>
        <v>45.564666367981928</v>
      </c>
      <c r="O35" s="25">
        <f t="shared" si="8"/>
        <v>-26.270785278342725</v>
      </c>
      <c r="P35" s="25">
        <f t="shared" si="9"/>
        <v>2251851.3765720348</v>
      </c>
      <c r="Q35" s="25">
        <f t="shared" si="10"/>
        <v>-1298328.4792409758</v>
      </c>
      <c r="R35" s="26">
        <f t="shared" si="1"/>
        <v>28.041362760858064</v>
      </c>
      <c r="S35" s="25">
        <f t="shared" si="2"/>
        <v>-20.788370471750476</v>
      </c>
      <c r="T35" s="35">
        <v>49421</v>
      </c>
      <c r="U35" s="26">
        <f t="shared" si="3"/>
        <v>1385832.1890043663</v>
      </c>
      <c r="V35" s="26">
        <f t="shared" si="4"/>
        <v>-1027382.0570843803</v>
      </c>
      <c r="W35" s="17"/>
      <c r="X35" s="18"/>
    </row>
    <row r="36" spans="1:24" x14ac:dyDescent="0.15">
      <c r="A36">
        <f t="shared" si="5"/>
        <v>31</v>
      </c>
      <c r="B36" s="19"/>
      <c r="C36" s="6">
        <v>0.20367484831494601</v>
      </c>
      <c r="D36" s="13"/>
      <c r="E36" s="29">
        <f>G33/12</f>
        <v>2.3333333333333335</v>
      </c>
      <c r="F36" s="28">
        <f t="shared" si="0"/>
        <v>0</v>
      </c>
      <c r="G36" s="1">
        <v>31</v>
      </c>
      <c r="H36" s="21">
        <v>46935</v>
      </c>
      <c r="I36" s="16">
        <v>85.25</v>
      </c>
      <c r="J36" s="25">
        <f t="shared" si="11"/>
        <v>39.341688402845776</v>
      </c>
      <c r="K36" s="25">
        <f t="shared" si="12"/>
        <v>48.686456077223419</v>
      </c>
      <c r="L36" s="26">
        <f t="shared" si="13"/>
        <v>135.50122053685584</v>
      </c>
      <c r="M36" s="25">
        <f t="shared" si="14"/>
        <v>167.68660649553101</v>
      </c>
      <c r="N36" s="25">
        <f t="shared" si="7"/>
        <v>82.436606495531009</v>
      </c>
      <c r="O36" s="25">
        <f t="shared" si="8"/>
        <v>-45.908311597154224</v>
      </c>
      <c r="P36" s="25">
        <f t="shared" si="9"/>
        <v>3703711.8566312171</v>
      </c>
      <c r="Q36" s="25">
        <f t="shared" si="10"/>
        <v>-2062568.623436945</v>
      </c>
      <c r="R36" s="26">
        <f t="shared" si="1"/>
        <v>50.25122053685584</v>
      </c>
      <c r="S36" s="25">
        <f t="shared" si="2"/>
        <v>-36.563543922776581</v>
      </c>
      <c r="T36" s="35">
        <v>44928</v>
      </c>
      <c r="U36" s="26">
        <f t="shared" si="3"/>
        <v>2257686.8362798593</v>
      </c>
      <c r="V36" s="26">
        <f t="shared" si="4"/>
        <v>-1642726.9013625062</v>
      </c>
      <c r="W36" s="17"/>
      <c r="X36" s="18"/>
    </row>
    <row r="37" spans="1:24" x14ac:dyDescent="0.15">
      <c r="A37">
        <f t="shared" si="5"/>
        <v>31</v>
      </c>
      <c r="B37" s="19"/>
      <c r="C37" s="6">
        <v>0.26486386209682999</v>
      </c>
      <c r="D37" s="13"/>
      <c r="E37" s="29">
        <f>G34/12</f>
        <v>2.4166666666666665</v>
      </c>
      <c r="F37" s="28">
        <f t="shared" si="0"/>
        <v>0</v>
      </c>
      <c r="G37" s="1">
        <v>32</v>
      </c>
      <c r="H37" s="21">
        <v>46966</v>
      </c>
      <c r="I37" s="16">
        <v>66.849999999999994</v>
      </c>
      <c r="J37" s="25">
        <f t="shared" si="11"/>
        <v>23.530826666334541</v>
      </c>
      <c r="K37" s="25">
        <f t="shared" si="12"/>
        <v>31.198138982611297</v>
      </c>
      <c r="L37" s="26">
        <f t="shared" si="13"/>
        <v>120.90535755317897</v>
      </c>
      <c r="M37" s="25">
        <f t="shared" si="14"/>
        <v>160.30130186981523</v>
      </c>
      <c r="N37" s="25">
        <f t="shared" si="7"/>
        <v>93.451301869815239</v>
      </c>
      <c r="O37" s="25">
        <f t="shared" si="8"/>
        <v>-43.319173333665454</v>
      </c>
      <c r="P37" s="25">
        <f t="shared" si="9"/>
        <v>4828348.4137077443</v>
      </c>
      <c r="Q37" s="25">
        <f t="shared" si="10"/>
        <v>-2238171.7286304929</v>
      </c>
      <c r="R37" s="26">
        <f t="shared" si="1"/>
        <v>54.055357553178979</v>
      </c>
      <c r="S37" s="25">
        <f t="shared" si="2"/>
        <v>-35.651861017388697</v>
      </c>
      <c r="T37" s="35">
        <v>51667</v>
      </c>
      <c r="U37" s="26">
        <f t="shared" si="3"/>
        <v>2792878.1587000983</v>
      </c>
      <c r="V37" s="26">
        <f t="shared" si="4"/>
        <v>-1842024.7031854219</v>
      </c>
      <c r="W37" s="17"/>
      <c r="X37" s="18"/>
    </row>
    <row r="38" spans="1:24" x14ac:dyDescent="0.15">
      <c r="A38">
        <f t="shared" si="5"/>
        <v>30</v>
      </c>
      <c r="B38" s="19"/>
      <c r="C38" s="6">
        <v>0.19617443300110399</v>
      </c>
      <c r="D38" s="13"/>
      <c r="E38" s="29">
        <f>G35/12</f>
        <v>2.5</v>
      </c>
      <c r="F38" s="28">
        <f t="shared" si="0"/>
        <v>0</v>
      </c>
      <c r="G38" s="1">
        <v>33</v>
      </c>
      <c r="H38" s="21">
        <v>46997</v>
      </c>
      <c r="I38" s="16">
        <v>41.75</v>
      </c>
      <c r="J38" s="25">
        <f t="shared" si="11"/>
        <v>19.314900403384996</v>
      </c>
      <c r="K38" s="25">
        <f t="shared" si="12"/>
        <v>23.887360362179088</v>
      </c>
      <c r="L38" s="26">
        <f t="shared" si="13"/>
        <v>66.27670104294279</v>
      </c>
      <c r="M38" s="25">
        <f t="shared" si="14"/>
        <v>81.966534041859646</v>
      </c>
      <c r="N38" s="25">
        <f t="shared" si="7"/>
        <v>40.216534041859646</v>
      </c>
      <c r="O38" s="25">
        <f t="shared" si="8"/>
        <v>-22.435099596615004</v>
      </c>
      <c r="P38" s="25">
        <f t="shared" si="9"/>
        <v>1355136.3310745026</v>
      </c>
      <c r="Q38" s="25">
        <f t="shared" si="10"/>
        <v>-755973.11600753921</v>
      </c>
      <c r="R38" s="26">
        <f t="shared" si="1"/>
        <v>24.52670104294279</v>
      </c>
      <c r="S38" s="25">
        <f t="shared" si="2"/>
        <v>-17.862639637820912</v>
      </c>
      <c r="T38" s="35">
        <v>33696</v>
      </c>
      <c r="U38" s="26">
        <f t="shared" si="3"/>
        <v>826451.71834300028</v>
      </c>
      <c r="V38" s="26">
        <f t="shared" si="4"/>
        <v>-601899.50523601344</v>
      </c>
      <c r="W38" s="17"/>
      <c r="X38" s="18"/>
    </row>
    <row r="39" spans="1:24" x14ac:dyDescent="0.15">
      <c r="A39">
        <f t="shared" si="5"/>
        <v>31</v>
      </c>
      <c r="B39" s="19"/>
      <c r="C39" s="6">
        <v>0.30265774590508798</v>
      </c>
      <c r="D39" s="13"/>
      <c r="E39" s="29">
        <f>G36/12</f>
        <v>2.5833333333333335</v>
      </c>
      <c r="F39" s="28">
        <f t="shared" si="0"/>
        <v>0</v>
      </c>
      <c r="G39" s="1">
        <v>34</v>
      </c>
      <c r="H39" s="21">
        <v>47027</v>
      </c>
      <c r="I39" s="16">
        <v>41.75</v>
      </c>
      <c r="J39" s="25">
        <f t="shared" si="11"/>
        <v>11.940573425827044</v>
      </c>
      <c r="K39" s="25">
        <f t="shared" si="12"/>
        <v>16.662543651999485</v>
      </c>
      <c r="L39" s="26">
        <f t="shared" si="13"/>
        <v>82.565989265236141</v>
      </c>
      <c r="M39" s="25">
        <f t="shared" si="14"/>
        <v>115.21719696700653</v>
      </c>
      <c r="N39" s="25">
        <f t="shared" si="7"/>
        <v>73.467196967006529</v>
      </c>
      <c r="O39" s="25">
        <f t="shared" si="8"/>
        <v>-29.809426574172956</v>
      </c>
      <c r="P39" s="25">
        <f t="shared" si="9"/>
        <v>2723135.1227790639</v>
      </c>
      <c r="Q39" s="25">
        <f t="shared" si="10"/>
        <v>-1104916.2053982948</v>
      </c>
      <c r="R39" s="26">
        <f t="shared" si="1"/>
        <v>40.815989265236141</v>
      </c>
      <c r="S39" s="25">
        <f t="shared" si="2"/>
        <v>-25.087456348000515</v>
      </c>
      <c r="T39" s="35">
        <v>37066</v>
      </c>
      <c r="U39" s="26">
        <f t="shared" si="3"/>
        <v>1512885.4581052428</v>
      </c>
      <c r="V39" s="26">
        <f t="shared" si="4"/>
        <v>-929891.65699498705</v>
      </c>
      <c r="W39" s="17"/>
      <c r="X39" s="18"/>
    </row>
    <row r="40" spans="1:24" x14ac:dyDescent="0.15">
      <c r="A40">
        <f t="shared" si="5"/>
        <v>30</v>
      </c>
      <c r="B40" s="19"/>
      <c r="C40" s="6">
        <v>0.31461120640985502</v>
      </c>
      <c r="D40" s="13"/>
      <c r="E40" s="29">
        <f>G37/12</f>
        <v>2.6666666666666665</v>
      </c>
      <c r="F40" s="28">
        <f t="shared" si="0"/>
        <v>0</v>
      </c>
      <c r="G40" s="1">
        <v>35</v>
      </c>
      <c r="H40" s="21">
        <v>47058</v>
      </c>
      <c r="I40" s="16">
        <v>57</v>
      </c>
      <c r="J40" s="25">
        <f t="shared" si="11"/>
        <v>15.089839437641309</v>
      </c>
      <c r="K40" s="25">
        <f t="shared" si="12"/>
        <v>21.454744876484302</v>
      </c>
      <c r="L40" s="26">
        <f t="shared" si="13"/>
        <v>116.30423560763799</v>
      </c>
      <c r="M40" s="25">
        <f t="shared" si="14"/>
        <v>165.36144823330415</v>
      </c>
      <c r="N40" s="25">
        <f t="shared" si="7"/>
        <v>108.36144823330415</v>
      </c>
      <c r="O40" s="25">
        <f t="shared" si="8"/>
        <v>-41.910160562358691</v>
      </c>
      <c r="P40" s="25">
        <f t="shared" si="9"/>
        <v>5111842.95895789</v>
      </c>
      <c r="Q40" s="25">
        <f t="shared" si="10"/>
        <v>-1977069.9143687089</v>
      </c>
      <c r="R40" s="26">
        <f t="shared" si="1"/>
        <v>59.304235607637992</v>
      </c>
      <c r="S40" s="25">
        <f t="shared" si="2"/>
        <v>-35.545255123515702</v>
      </c>
      <c r="T40" s="35">
        <v>47174</v>
      </c>
      <c r="U40" s="26">
        <f t="shared" si="3"/>
        <v>2797618.0105547146</v>
      </c>
      <c r="V40" s="26">
        <f t="shared" si="4"/>
        <v>-1676811.8651967298</v>
      </c>
      <c r="W40" s="17"/>
      <c r="X40" s="18"/>
    </row>
    <row r="41" spans="1:24" x14ac:dyDescent="0.15">
      <c r="A41">
        <f t="shared" si="5"/>
        <v>31</v>
      </c>
      <c r="B41" s="19"/>
      <c r="C41" s="6">
        <v>0.21848330636260899</v>
      </c>
      <c r="D41" s="13"/>
      <c r="E41" s="29">
        <f>G38/12</f>
        <v>2.75</v>
      </c>
      <c r="F41" s="28">
        <f t="shared" si="0"/>
        <v>0</v>
      </c>
      <c r="G41" s="1">
        <v>36</v>
      </c>
      <c r="H41" s="21">
        <v>47088</v>
      </c>
      <c r="I41" s="16">
        <v>92.5</v>
      </c>
      <c r="J41" s="25">
        <f t="shared" si="11"/>
        <v>37.239962716376517</v>
      </c>
      <c r="K41" s="25">
        <f t="shared" si="12"/>
        <v>47.73033979820574</v>
      </c>
      <c r="L41" s="26">
        <f t="shared" si="13"/>
        <v>157.20943734305263</v>
      </c>
      <c r="M41" s="25">
        <f t="shared" si="14"/>
        <v>201.49482750606657</v>
      </c>
      <c r="N41" s="25">
        <f t="shared" si="7"/>
        <v>108.99482750606657</v>
      </c>
      <c r="O41" s="25">
        <f t="shared" si="8"/>
        <v>-55.260037283623483</v>
      </c>
      <c r="P41" s="25">
        <f t="shared" si="9"/>
        <v>4896919.6101925587</v>
      </c>
      <c r="Q41" s="25">
        <f t="shared" si="10"/>
        <v>-2482722.9550786358</v>
      </c>
      <c r="R41" s="26">
        <f t="shared" si="1"/>
        <v>64.709437343052628</v>
      </c>
      <c r="S41" s="25">
        <f t="shared" si="2"/>
        <v>-44.76966020179426</v>
      </c>
      <c r="T41" s="35">
        <v>44928</v>
      </c>
      <c r="U41" s="26">
        <f t="shared" si="3"/>
        <v>2907265.6009486686</v>
      </c>
      <c r="V41" s="26">
        <f t="shared" si="4"/>
        <v>-2011411.2935462126</v>
      </c>
      <c r="W41" s="17"/>
      <c r="X41" s="17"/>
    </row>
    <row r="42" spans="1:24" x14ac:dyDescent="0.15">
      <c r="A42">
        <f t="shared" si="5"/>
        <v>31</v>
      </c>
      <c r="C42" s="13">
        <v>0.32616756564521399</v>
      </c>
      <c r="D42" s="13"/>
      <c r="E42" s="29">
        <f>G39/12</f>
        <v>2.8333333333333335</v>
      </c>
      <c r="F42" s="28">
        <f t="shared" si="0"/>
        <v>0</v>
      </c>
      <c r="G42" s="1">
        <v>37</v>
      </c>
      <c r="H42" s="21">
        <v>47119</v>
      </c>
      <c r="I42" s="16">
        <v>145.25</v>
      </c>
      <c r="J42" s="25">
        <f t="shared" si="11"/>
        <v>34.761938471022134</v>
      </c>
      <c r="K42" s="25">
        <f t="shared" si="12"/>
        <v>50.632973543201778</v>
      </c>
      <c r="L42" s="26">
        <f t="shared" si="13"/>
        <v>308.24188444436675</v>
      </c>
      <c r="M42" s="25">
        <f t="shared" si="14"/>
        <v>448.97390267774011</v>
      </c>
      <c r="N42" s="16">
        <f t="shared" si="7"/>
        <v>303.72390267774011</v>
      </c>
      <c r="O42" s="25">
        <f t="shared" si="8"/>
        <v>-110.48806152897787</v>
      </c>
      <c r="P42" s="25">
        <f t="shared" si="9"/>
        <v>15010338.994236594</v>
      </c>
      <c r="Q42" s="25">
        <f t="shared" si="10"/>
        <v>-5460430.488823615</v>
      </c>
      <c r="R42" s="26">
        <f t="shared" si="1"/>
        <v>162.99188444436675</v>
      </c>
      <c r="S42" s="16">
        <f t="shared" si="2"/>
        <v>-94.617026456798214</v>
      </c>
      <c r="T42" s="35">
        <v>49421</v>
      </c>
      <c r="U42" s="26">
        <f t="shared" si="3"/>
        <v>8055221.9211250488</v>
      </c>
      <c r="V42" s="26">
        <f t="shared" si="4"/>
        <v>-4676068.0645214245</v>
      </c>
      <c r="W42" s="17"/>
      <c r="X42" s="17"/>
    </row>
    <row r="43" spans="1:24" x14ac:dyDescent="0.15">
      <c r="A43">
        <f t="shared" si="5"/>
        <v>28</v>
      </c>
      <c r="C43" s="13">
        <v>0.44391389509761298</v>
      </c>
      <c r="D43" s="13"/>
      <c r="E43" s="29">
        <f>G40/12</f>
        <v>2.9166666666666665</v>
      </c>
      <c r="F43" s="28">
        <f t="shared" si="0"/>
        <v>0</v>
      </c>
      <c r="G43" s="1">
        <v>38</v>
      </c>
      <c r="H43" s="21">
        <v>47150</v>
      </c>
      <c r="I43" s="16">
        <v>126.25</v>
      </c>
      <c r="J43" s="25">
        <f t="shared" si="11"/>
        <v>16.190893321909929</v>
      </c>
      <c r="K43" s="25">
        <f t="shared" si="12"/>
        <v>27.214941631947227</v>
      </c>
      <c r="L43" s="26">
        <f t="shared" si="13"/>
        <v>329.64126229494661</v>
      </c>
      <c r="M43" s="25">
        <f t="shared" si="14"/>
        <v>554.08725970038734</v>
      </c>
      <c r="N43" s="16">
        <f t="shared" si="7"/>
        <v>427.83725970038734</v>
      </c>
      <c r="O43" s="25">
        <f t="shared" si="8"/>
        <v>-110.05910667809007</v>
      </c>
      <c r="P43" s="25">
        <f t="shared" si="9"/>
        <v>19221872.403819002</v>
      </c>
      <c r="Q43" s="25">
        <f t="shared" si="10"/>
        <v>-4944735.5448332308</v>
      </c>
      <c r="R43" s="26">
        <f t="shared" si="1"/>
        <v>203.39126229494661</v>
      </c>
      <c r="S43" s="16">
        <f t="shared" si="2"/>
        <v>-99.035058368052773</v>
      </c>
      <c r="T43" s="35">
        <v>44928</v>
      </c>
      <c r="U43" s="26">
        <f t="shared" si="3"/>
        <v>9137962.6323873606</v>
      </c>
      <c r="V43" s="26">
        <f t="shared" si="4"/>
        <v>-4449447.1023598751</v>
      </c>
      <c r="W43" s="17"/>
      <c r="X43" s="17"/>
    </row>
    <row r="44" spans="1:24" x14ac:dyDescent="0.15">
      <c r="A44">
        <f t="shared" si="5"/>
        <v>31</v>
      </c>
      <c r="C44" s="13">
        <v>0.25952904040459301</v>
      </c>
      <c r="D44" s="13"/>
      <c r="E44" s="29">
        <f>G41/12</f>
        <v>3</v>
      </c>
      <c r="F44" s="28">
        <f t="shared" si="0"/>
        <v>0</v>
      </c>
      <c r="G44" s="1">
        <v>39</v>
      </c>
      <c r="H44" s="21">
        <v>47178</v>
      </c>
      <c r="I44" s="16">
        <v>66.25</v>
      </c>
      <c r="J44" s="25">
        <f t="shared" si="11"/>
        <v>21.010593079113143</v>
      </c>
      <c r="K44" s="25">
        <f t="shared" si="12"/>
        <v>28.586832777936728</v>
      </c>
      <c r="L44" s="26">
        <f t="shared" si="13"/>
        <v>125.44391193972525</v>
      </c>
      <c r="M44" s="25">
        <f t="shared" si="14"/>
        <v>170.67791090562179</v>
      </c>
      <c r="N44" s="16">
        <f t="shared" si="7"/>
        <v>104.42791090562179</v>
      </c>
      <c r="O44" s="25">
        <f t="shared" si="8"/>
        <v>-45.239406920886857</v>
      </c>
      <c r="P44" s="25">
        <f t="shared" si="9"/>
        <v>5160931.7848667344</v>
      </c>
      <c r="Q44" s="25">
        <f t="shared" si="10"/>
        <v>-2235776.7294371496</v>
      </c>
      <c r="R44" s="26">
        <f t="shared" si="1"/>
        <v>59.193911939725254</v>
      </c>
      <c r="S44" s="16">
        <f t="shared" si="2"/>
        <v>-37.663167222063272</v>
      </c>
      <c r="T44" s="35">
        <v>49421</v>
      </c>
      <c r="U44" s="26">
        <f t="shared" si="3"/>
        <v>2925422.3219731618</v>
      </c>
      <c r="V44" s="26">
        <f t="shared" si="4"/>
        <v>-1861351.387281589</v>
      </c>
      <c r="W44" s="17"/>
      <c r="X44" s="17"/>
    </row>
    <row r="45" spans="1:24" x14ac:dyDescent="0.15">
      <c r="A45">
        <f t="shared" si="5"/>
        <v>30</v>
      </c>
      <c r="C45" s="13">
        <v>0.187090685874919</v>
      </c>
      <c r="D45" s="13"/>
      <c r="E45" s="29">
        <f>G42/12</f>
        <v>3.0833333333333335</v>
      </c>
      <c r="F45" s="28">
        <f t="shared" si="0"/>
        <v>0</v>
      </c>
      <c r="G45" s="1">
        <v>40</v>
      </c>
      <c r="H45" s="21">
        <v>47209</v>
      </c>
      <c r="I45" s="16">
        <v>44</v>
      </c>
      <c r="J45" s="25">
        <f t="shared" si="11"/>
        <v>19.390323408414631</v>
      </c>
      <c r="K45" s="25">
        <f t="shared" si="12"/>
        <v>24.283828985880827</v>
      </c>
      <c r="L45" s="26">
        <f t="shared" si="13"/>
        <v>71.567633682924168</v>
      </c>
      <c r="M45" s="25">
        <f t="shared" si="14"/>
        <v>89.629045409634557</v>
      </c>
      <c r="N45" s="16">
        <f t="shared" si="7"/>
        <v>45.629045409634557</v>
      </c>
      <c r="O45" s="25">
        <f t="shared" si="8"/>
        <v>-24.609676591585369</v>
      </c>
      <c r="P45" s="25">
        <f t="shared" si="9"/>
        <v>1614401.2556382802</v>
      </c>
      <c r="Q45" s="25">
        <f t="shared" si="10"/>
        <v>-870714.967486882</v>
      </c>
      <c r="R45" s="26">
        <f t="shared" si="1"/>
        <v>27.567633682924168</v>
      </c>
      <c r="S45" s="16">
        <f t="shared" si="2"/>
        <v>-19.716171014119173</v>
      </c>
      <c r="T45" s="35">
        <v>35381</v>
      </c>
      <c r="U45" s="26">
        <f t="shared" si="3"/>
        <v>975370.44733553997</v>
      </c>
      <c r="V45" s="26">
        <f t="shared" si="4"/>
        <v>-697577.84665055049</v>
      </c>
      <c r="W45" s="17"/>
      <c r="X45" s="17"/>
    </row>
    <row r="46" spans="1:24" x14ac:dyDescent="0.15">
      <c r="A46">
        <f t="shared" si="5"/>
        <v>31</v>
      </c>
      <c r="C46" s="13">
        <v>0.34922078171487703</v>
      </c>
      <c r="D46" s="13"/>
      <c r="E46" s="29">
        <f>G43/12</f>
        <v>3.1666666666666665</v>
      </c>
      <c r="F46" s="28">
        <f t="shared" si="0"/>
        <v>0</v>
      </c>
      <c r="G46" s="1">
        <v>41</v>
      </c>
      <c r="H46" s="21">
        <v>47239</v>
      </c>
      <c r="I46" s="16">
        <v>37.5</v>
      </c>
      <c r="J46" s="25">
        <f t="shared" si="11"/>
        <v>7.2665616698707662</v>
      </c>
      <c r="K46" s="25">
        <f t="shared" si="12"/>
        <v>11.12251734122267</v>
      </c>
      <c r="L46" s="26">
        <f t="shared" si="13"/>
        <v>85.928787502790072</v>
      </c>
      <c r="M46" s="25">
        <f t="shared" si="14"/>
        <v>131.52636315918281</v>
      </c>
      <c r="N46" s="16">
        <f t="shared" si="7"/>
        <v>94.026363159182807</v>
      </c>
      <c r="O46" s="25">
        <f t="shared" si="8"/>
        <v>-30.233438330129232</v>
      </c>
      <c r="P46" s="25">
        <f t="shared" si="9"/>
        <v>3485181.1768582701</v>
      </c>
      <c r="Q46" s="25">
        <f t="shared" si="10"/>
        <v>-1120632.6251445701</v>
      </c>
      <c r="R46" s="26">
        <f t="shared" si="1"/>
        <v>48.428787502790072</v>
      </c>
      <c r="S46" s="16">
        <f t="shared" si="2"/>
        <v>-26.377482658777332</v>
      </c>
      <c r="T46" s="35">
        <v>37066</v>
      </c>
      <c r="U46" s="26">
        <f t="shared" si="3"/>
        <v>1795061.4375784169</v>
      </c>
      <c r="V46" s="26">
        <f t="shared" si="4"/>
        <v>-977707.77223024063</v>
      </c>
      <c r="W46" s="17"/>
      <c r="X46" s="17"/>
    </row>
    <row r="47" spans="1:24" x14ac:dyDescent="0.15">
      <c r="A47">
        <f t="shared" si="5"/>
        <v>30</v>
      </c>
      <c r="C47" s="13">
        <v>0.20206198040277801</v>
      </c>
      <c r="D47" s="13"/>
      <c r="E47" s="29">
        <f>G44/12</f>
        <v>3.25</v>
      </c>
      <c r="F47" s="28">
        <f t="shared" si="0"/>
        <v>0</v>
      </c>
      <c r="G47" s="1">
        <v>42</v>
      </c>
      <c r="H47" s="21">
        <v>47270</v>
      </c>
      <c r="I47" s="16">
        <v>49.25</v>
      </c>
      <c r="J47" s="25">
        <f t="shared" si="11"/>
        <v>19.723433427818645</v>
      </c>
      <c r="K47" s="25">
        <f t="shared" si="12"/>
        <v>25.313403741788836</v>
      </c>
      <c r="L47" s="26">
        <f t="shared" si="13"/>
        <v>83.91381790723554</v>
      </c>
      <c r="M47" s="25">
        <f t="shared" si="14"/>
        <v>107.69647992447567</v>
      </c>
      <c r="N47" s="16">
        <f t="shared" si="7"/>
        <v>58.446479924475668</v>
      </c>
      <c r="O47" s="25">
        <f t="shared" si="8"/>
        <v>-29.526566572181355</v>
      </c>
      <c r="P47" s="25">
        <f t="shared" si="9"/>
        <v>2757154.243957215</v>
      </c>
      <c r="Q47" s="25">
        <f t="shared" si="10"/>
        <v>-1392886.2514760832</v>
      </c>
      <c r="R47" s="26">
        <f t="shared" si="1"/>
        <v>34.66381790723554</v>
      </c>
      <c r="S47" s="16">
        <f t="shared" si="2"/>
        <v>-23.936596258211164</v>
      </c>
      <c r="T47" s="35">
        <v>47174</v>
      </c>
      <c r="U47" s="26">
        <f t="shared" si="3"/>
        <v>1635230.9459559293</v>
      </c>
      <c r="V47" s="26">
        <f t="shared" si="4"/>
        <v>-1129184.9918848535</v>
      </c>
      <c r="W47" s="17"/>
      <c r="X47" s="17"/>
    </row>
    <row r="48" spans="1:24" x14ac:dyDescent="0.15">
      <c r="A48">
        <f t="shared" si="5"/>
        <v>31</v>
      </c>
      <c r="C48" s="13">
        <v>0.20812526146750199</v>
      </c>
      <c r="D48" s="13"/>
      <c r="E48" s="29">
        <f>G45/12</f>
        <v>3.3333333333333335</v>
      </c>
      <c r="F48" s="28">
        <f t="shared" si="0"/>
        <v>0</v>
      </c>
      <c r="G48" s="1">
        <v>43</v>
      </c>
      <c r="H48" s="21">
        <v>47300</v>
      </c>
      <c r="I48" s="16">
        <v>83.5</v>
      </c>
      <c r="J48" s="25">
        <f t="shared" si="11"/>
        <v>32.049856220738675</v>
      </c>
      <c r="K48" s="25">
        <f t="shared" si="12"/>
        <v>41.578410466845789</v>
      </c>
      <c r="L48" s="26">
        <f t="shared" si="13"/>
        <v>145.14382230333021</v>
      </c>
      <c r="M48" s="25">
        <f t="shared" si="14"/>
        <v>188.29567842334927</v>
      </c>
      <c r="N48" s="16">
        <f t="shared" si="7"/>
        <v>104.79567842334927</v>
      </c>
      <c r="O48" s="25">
        <f t="shared" si="8"/>
        <v>-51.450143779261325</v>
      </c>
      <c r="P48" s="25">
        <f t="shared" si="9"/>
        <v>4943631.3339430783</v>
      </c>
      <c r="Q48" s="25">
        <f t="shared" si="10"/>
        <v>-2427109.0826428737</v>
      </c>
      <c r="R48" s="26">
        <f t="shared" si="1"/>
        <v>61.643822303330211</v>
      </c>
      <c r="S48" s="16">
        <f t="shared" si="2"/>
        <v>-41.921589533154211</v>
      </c>
      <c r="T48" s="35">
        <v>47174</v>
      </c>
      <c r="U48" s="26">
        <f t="shared" si="3"/>
        <v>2907985.6733372994</v>
      </c>
      <c r="V48" s="26">
        <f t="shared" si="4"/>
        <v>-1977609.0646370167</v>
      </c>
      <c r="W48" s="17"/>
      <c r="X48" s="17"/>
    </row>
    <row r="49" spans="1:24" x14ac:dyDescent="0.15">
      <c r="A49">
        <f t="shared" si="5"/>
        <v>31</v>
      </c>
      <c r="C49" s="13">
        <v>0.27200637383052401</v>
      </c>
      <c r="D49" s="13"/>
      <c r="E49" s="29">
        <f>G46/12</f>
        <v>3.4166666666666665</v>
      </c>
      <c r="F49" s="28">
        <f t="shared" si="0"/>
        <v>0</v>
      </c>
      <c r="G49" s="1">
        <v>44</v>
      </c>
      <c r="H49" s="21">
        <v>47331</v>
      </c>
      <c r="I49" s="16">
        <v>65.099999999999994</v>
      </c>
      <c r="J49" s="25">
        <f t="shared" si="11"/>
        <v>17.779488096688787</v>
      </c>
      <c r="K49" s="25">
        <f t="shared" si="12"/>
        <v>25.089555300249273</v>
      </c>
      <c r="L49" s="26">
        <f t="shared" si="13"/>
        <v>131.18479116064489</v>
      </c>
      <c r="M49" s="25">
        <f t="shared" si="14"/>
        <v>185.12164436216975</v>
      </c>
      <c r="N49" s="16">
        <f t="shared" si="7"/>
        <v>120.02164436216975</v>
      </c>
      <c r="O49" s="25">
        <f t="shared" si="8"/>
        <v>-47.320511903311207</v>
      </c>
      <c r="P49" s="25">
        <f t="shared" si="9"/>
        <v>6201158.2992602242</v>
      </c>
      <c r="Q49" s="25">
        <f t="shared" si="10"/>
        <v>-2444908.8885083799</v>
      </c>
      <c r="R49" s="26">
        <f t="shared" si="1"/>
        <v>66.084791160644897</v>
      </c>
      <c r="S49" s="16">
        <f t="shared" si="2"/>
        <v>-40.010444699750721</v>
      </c>
      <c r="T49" s="35">
        <v>51667</v>
      </c>
      <c r="U49" s="26">
        <f t="shared" si="3"/>
        <v>3414402.9048970398</v>
      </c>
      <c r="V49" s="26">
        <f t="shared" si="4"/>
        <v>-2067219.6463020204</v>
      </c>
      <c r="W49" s="17"/>
      <c r="X49" s="17"/>
    </row>
    <row r="50" spans="1:24" x14ac:dyDescent="0.15">
      <c r="A50">
        <f t="shared" si="5"/>
        <v>30</v>
      </c>
      <c r="C50" s="13">
        <v>0.20478206013491301</v>
      </c>
      <c r="D50" s="13"/>
      <c r="E50" s="29">
        <f>G47/12</f>
        <v>3.5</v>
      </c>
      <c r="F50" s="28">
        <f t="shared" si="0"/>
        <v>0</v>
      </c>
      <c r="G50" s="1">
        <v>45</v>
      </c>
      <c r="H50" s="21">
        <v>47362</v>
      </c>
      <c r="I50" s="16">
        <v>40</v>
      </c>
      <c r="J50" s="25">
        <f t="shared" si="11"/>
        <v>15.223505898672888</v>
      </c>
      <c r="K50" s="25">
        <f t="shared" si="12"/>
        <v>19.791894783636714</v>
      </c>
      <c r="L50" s="26">
        <f t="shared" si="13"/>
        <v>69.805408061752402</v>
      </c>
      <c r="M50" s="25">
        <f t="shared" si="14"/>
        <v>90.753161649017358</v>
      </c>
      <c r="N50" s="16">
        <f t="shared" si="7"/>
        <v>50.753161649017358</v>
      </c>
      <c r="O50" s="25">
        <f t="shared" si="8"/>
        <v>-24.77649410132711</v>
      </c>
      <c r="P50" s="25">
        <f t="shared" si="9"/>
        <v>1624659.4575466947</v>
      </c>
      <c r="Q50" s="25">
        <f t="shared" si="10"/>
        <v>-793120.35267758206</v>
      </c>
      <c r="R50" s="26">
        <f t="shared" si="1"/>
        <v>29.805408061752402</v>
      </c>
      <c r="S50" s="16">
        <f t="shared" si="2"/>
        <v>-20.208105216363286</v>
      </c>
      <c r="T50" s="35">
        <v>32011</v>
      </c>
      <c r="U50" s="26">
        <f t="shared" si="3"/>
        <v>954100.91746475617</v>
      </c>
      <c r="V50" s="26">
        <f t="shared" si="4"/>
        <v>-646881.65608100512</v>
      </c>
      <c r="W50" s="17"/>
      <c r="X50" s="17"/>
    </row>
    <row r="51" spans="1:24" x14ac:dyDescent="0.15">
      <c r="A51">
        <f t="shared" si="5"/>
        <v>31</v>
      </c>
      <c r="C51" s="13">
        <v>0.31545939835842501</v>
      </c>
      <c r="D51" s="13"/>
      <c r="E51" s="29">
        <f>G48/12</f>
        <v>3.5833333333333335</v>
      </c>
      <c r="F51" s="28">
        <f t="shared" si="0"/>
        <v>0</v>
      </c>
      <c r="G51" s="1">
        <v>46</v>
      </c>
      <c r="H51" s="21">
        <v>47392</v>
      </c>
      <c r="I51" s="16">
        <v>40</v>
      </c>
      <c r="J51" s="25">
        <f t="shared" si="11"/>
        <v>8.3245688709136356</v>
      </c>
      <c r="K51" s="25">
        <f t="shared" si="12"/>
        <v>12.531712412244271</v>
      </c>
      <c r="L51" s="26">
        <f t="shared" si="13"/>
        <v>89.380486418317872</v>
      </c>
      <c r="M51" s="25">
        <f t="shared" si="14"/>
        <v>134.55237964028436</v>
      </c>
      <c r="N51" s="16">
        <f t="shared" si="7"/>
        <v>94.552379640284357</v>
      </c>
      <c r="O51" s="25">
        <f t="shared" si="8"/>
        <v>-31.675431129086363</v>
      </c>
      <c r="P51" s="25">
        <f t="shared" si="9"/>
        <v>3663904.711061019</v>
      </c>
      <c r="Q51" s="25">
        <f t="shared" si="10"/>
        <v>-1227422.9562520965</v>
      </c>
      <c r="R51" s="26">
        <f t="shared" si="1"/>
        <v>49.380486418317872</v>
      </c>
      <c r="S51" s="16">
        <f t="shared" si="2"/>
        <v>-27.468287587755729</v>
      </c>
      <c r="T51" s="35">
        <v>38750</v>
      </c>
      <c r="U51" s="26">
        <f t="shared" si="3"/>
        <v>1913493.8487098175</v>
      </c>
      <c r="V51" s="26">
        <f t="shared" si="4"/>
        <v>-1064396.1440255344</v>
      </c>
      <c r="W51" s="17"/>
      <c r="X51" s="17"/>
    </row>
    <row r="52" spans="1:24" x14ac:dyDescent="0.15">
      <c r="A52">
        <f t="shared" si="5"/>
        <v>30</v>
      </c>
      <c r="C52" s="13">
        <v>0.32441559252968599</v>
      </c>
      <c r="D52" s="13"/>
      <c r="E52" s="29">
        <f>G49/12</f>
        <v>3.6666666666666665</v>
      </c>
      <c r="F52" s="28">
        <f t="shared" si="0"/>
        <v>0</v>
      </c>
      <c r="G52" s="1">
        <v>47</v>
      </c>
      <c r="H52" s="21">
        <v>47423</v>
      </c>
      <c r="I52" s="16">
        <v>55.25</v>
      </c>
      <c r="J52" s="25">
        <f t="shared" si="11"/>
        <v>10.71347552043855</v>
      </c>
      <c r="K52" s="25">
        <f t="shared" si="12"/>
        <v>16.395882078207574</v>
      </c>
      <c r="L52" s="26">
        <f t="shared" si="13"/>
        <v>126.57137637216015</v>
      </c>
      <c r="M52" s="25">
        <f t="shared" si="14"/>
        <v>193.70458797570643</v>
      </c>
      <c r="N52" s="16">
        <f t="shared" si="7"/>
        <v>138.45458797570643</v>
      </c>
      <c r="O52" s="25">
        <f t="shared" si="8"/>
        <v>-44.53652447956145</v>
      </c>
      <c r="P52" s="25">
        <f t="shared" si="9"/>
        <v>6531456.7331659747</v>
      </c>
      <c r="Q52" s="25">
        <f t="shared" si="10"/>
        <v>-2100966.005798832</v>
      </c>
      <c r="R52" s="26">
        <f t="shared" si="1"/>
        <v>71.321376372160145</v>
      </c>
      <c r="S52" s="16">
        <f t="shared" si="2"/>
        <v>-38.854117921792422</v>
      </c>
      <c r="T52" s="35">
        <v>47174</v>
      </c>
      <c r="U52" s="26">
        <f t="shared" si="3"/>
        <v>3364514.6089802827</v>
      </c>
      <c r="V52" s="26">
        <f t="shared" si="4"/>
        <v>-1832904.1588426358</v>
      </c>
      <c r="W52" s="17"/>
      <c r="X52" s="17"/>
    </row>
    <row r="53" spans="1:24" x14ac:dyDescent="0.15">
      <c r="A53">
        <f t="shared" si="5"/>
        <v>31</v>
      </c>
      <c r="C53" s="13">
        <v>0.22277103390997099</v>
      </c>
      <c r="D53" s="13"/>
      <c r="E53" s="29">
        <f>G50/12</f>
        <v>3.75</v>
      </c>
      <c r="F53" s="28">
        <f t="shared" si="0"/>
        <v>0</v>
      </c>
      <c r="G53" s="1">
        <v>48</v>
      </c>
      <c r="H53" s="21">
        <v>47453</v>
      </c>
      <c r="I53" s="16">
        <v>90.75</v>
      </c>
      <c r="J53" s="25">
        <f t="shared" si="11"/>
        <v>30.262501298479712</v>
      </c>
      <c r="K53" s="25">
        <f t="shared" si="12"/>
        <v>40.666897322406555</v>
      </c>
      <c r="L53" s="26">
        <f t="shared" si="13"/>
        <v>168.12395211584334</v>
      </c>
      <c r="M53" s="25">
        <f t="shared" si="14"/>
        <v>225.92578950093827</v>
      </c>
      <c r="N53" s="16">
        <f t="shared" si="7"/>
        <v>135.17578950093827</v>
      </c>
      <c r="O53" s="25">
        <f t="shared" si="8"/>
        <v>-60.487498701520288</v>
      </c>
      <c r="P53" s="25">
        <f t="shared" si="9"/>
        <v>6073177.870698154</v>
      </c>
      <c r="Q53" s="25">
        <f t="shared" si="10"/>
        <v>-2717582.3416619035</v>
      </c>
      <c r="R53" s="26">
        <f t="shared" si="1"/>
        <v>77.373952115843338</v>
      </c>
      <c r="S53" s="16">
        <f t="shared" si="2"/>
        <v>-50.083102677593445</v>
      </c>
      <c r="T53" s="35">
        <v>44928</v>
      </c>
      <c r="U53" s="26">
        <f t="shared" si="3"/>
        <v>3476256.9206606094</v>
      </c>
      <c r="V53" s="26">
        <f t="shared" si="4"/>
        <v>-2250133.6370989182</v>
      </c>
      <c r="W53" s="17"/>
      <c r="X53" s="17"/>
    </row>
    <row r="54" spans="1:24" x14ac:dyDescent="0.15">
      <c r="A54">
        <f t="shared" si="5"/>
        <v>31</v>
      </c>
      <c r="C54" s="13">
        <v>0.32858722008401198</v>
      </c>
      <c r="D54" s="13"/>
      <c r="E54" s="29">
        <f>G51/12</f>
        <v>3.8333333333333335</v>
      </c>
      <c r="F54" s="28">
        <f t="shared" si="0"/>
        <v>0</v>
      </c>
      <c r="G54" s="1">
        <v>49</v>
      </c>
      <c r="H54" s="21">
        <v>47484</v>
      </c>
      <c r="I54" s="16">
        <v>144.25</v>
      </c>
      <c r="J54" s="25">
        <f t="shared" si="11"/>
        <v>26.19659779557643</v>
      </c>
      <c r="K54" s="25">
        <f t="shared" si="12"/>
        <v>40.703571075817692</v>
      </c>
      <c r="L54" s="26">
        <f t="shared" si="13"/>
        <v>337.94956312113493</v>
      </c>
      <c r="M54" s="25">
        <f t="shared" si="14"/>
        <v>525.096967548414</v>
      </c>
      <c r="N54" s="16">
        <f t="shared" si="7"/>
        <v>380.846967548414</v>
      </c>
      <c r="O54" s="25">
        <f t="shared" si="8"/>
        <v>-118.05340220442358</v>
      </c>
      <c r="P54" s="25">
        <f t="shared" si="9"/>
        <v>18821837.983210169</v>
      </c>
      <c r="Q54" s="25">
        <f t="shared" si="10"/>
        <v>-5834317.1903448179</v>
      </c>
      <c r="R54" s="26">
        <f t="shared" si="1"/>
        <v>193.69956312113493</v>
      </c>
      <c r="S54" s="16">
        <f t="shared" si="2"/>
        <v>-103.54642892418231</v>
      </c>
      <c r="T54" s="35">
        <v>49421</v>
      </c>
      <c r="U54" s="26">
        <f t="shared" si="3"/>
        <v>9572826.1090096086</v>
      </c>
      <c r="V54" s="26">
        <f t="shared" si="4"/>
        <v>-5117368.0638620136</v>
      </c>
      <c r="W54" s="17"/>
      <c r="X54" s="17"/>
    </row>
    <row r="55" spans="1:24" x14ac:dyDescent="0.15">
      <c r="A55">
        <f t="shared" si="5"/>
        <v>28</v>
      </c>
      <c r="C55" s="13">
        <v>0.44789491535035098</v>
      </c>
      <c r="D55" s="13"/>
      <c r="E55" s="29">
        <f>G52/12</f>
        <v>3.9166666666666665</v>
      </c>
      <c r="F55" s="28">
        <f t="shared" si="0"/>
        <v>0</v>
      </c>
      <c r="G55" s="1">
        <v>50</v>
      </c>
      <c r="H55" s="21">
        <v>47515</v>
      </c>
      <c r="I55" s="16">
        <v>125.25</v>
      </c>
      <c r="J55" s="25">
        <f t="shared" si="11"/>
        <v>10.72005692880202</v>
      </c>
      <c r="K55" s="25">
        <f t="shared" si="12"/>
        <v>19.674178192963584</v>
      </c>
      <c r="L55" s="26">
        <f t="shared" si="13"/>
        <v>363.43284077267583</v>
      </c>
      <c r="M55" s="25">
        <f t="shared" si="14"/>
        <v>666.99668835953014</v>
      </c>
      <c r="N55" s="16">
        <f t="shared" si="7"/>
        <v>541.74668835953014</v>
      </c>
      <c r="O55" s="25">
        <f t="shared" si="8"/>
        <v>-114.52994307119798</v>
      </c>
      <c r="P55" s="25">
        <f t="shared" si="9"/>
        <v>24339595.214616969</v>
      </c>
      <c r="Q55" s="25">
        <f t="shared" si="10"/>
        <v>-5145601.2823027829</v>
      </c>
      <c r="R55" s="26">
        <f t="shared" si="1"/>
        <v>238.18284077267583</v>
      </c>
      <c r="S55" s="16">
        <f t="shared" si="2"/>
        <v>-105.57582180703642</v>
      </c>
      <c r="T55" s="35">
        <v>44928</v>
      </c>
      <c r="U55" s="26">
        <f t="shared" si="3"/>
        <v>10701078.670234779</v>
      </c>
      <c r="V55" s="26">
        <f t="shared" si="4"/>
        <v>-4743310.5221465323</v>
      </c>
      <c r="W55" s="17"/>
      <c r="X55" s="17"/>
    </row>
    <row r="56" spans="1:24" x14ac:dyDescent="0.15">
      <c r="A56">
        <f t="shared" si="5"/>
        <v>31</v>
      </c>
      <c r="C56" s="13">
        <v>0.26375971098385198</v>
      </c>
      <c r="D56" s="13"/>
      <c r="E56" s="29">
        <f>G53/12</f>
        <v>4</v>
      </c>
      <c r="F56" s="28">
        <f t="shared" si="0"/>
        <v>0</v>
      </c>
      <c r="G56" s="1">
        <v>51</v>
      </c>
      <c r="H56" s="21">
        <v>47543</v>
      </c>
      <c r="I56" s="16">
        <v>65.25</v>
      </c>
      <c r="J56" s="25">
        <f t="shared" si="11"/>
        <v>16.609377122000701</v>
      </c>
      <c r="K56" s="25">
        <f t="shared" si="12"/>
        <v>23.838888714580008</v>
      </c>
      <c r="L56" s="26">
        <f t="shared" si="13"/>
        <v>135.21378589141634</v>
      </c>
      <c r="M56" s="25">
        <f t="shared" si="14"/>
        <v>194.06786725752005</v>
      </c>
      <c r="N56" s="16">
        <f t="shared" si="7"/>
        <v>128.81786725752005</v>
      </c>
      <c r="O56" s="25">
        <f t="shared" si="8"/>
        <v>-48.640622877999299</v>
      </c>
      <c r="P56" s="25">
        <f t="shared" si="9"/>
        <v>6076854.0700062504</v>
      </c>
      <c r="Q56" s="25">
        <f t="shared" si="10"/>
        <v>-2294572.7436467391</v>
      </c>
      <c r="R56" s="26">
        <f t="shared" si="1"/>
        <v>69.963785891416336</v>
      </c>
      <c r="S56" s="16">
        <f t="shared" si="2"/>
        <v>-41.411111285419992</v>
      </c>
      <c r="T56" s="35">
        <v>47174</v>
      </c>
      <c r="U56" s="26">
        <f t="shared" si="3"/>
        <v>3300471.635641674</v>
      </c>
      <c r="V56" s="26">
        <f t="shared" si="4"/>
        <v>-1953527.7637784027</v>
      </c>
      <c r="W56" s="17"/>
      <c r="X56" s="17"/>
    </row>
    <row r="57" spans="1:24" x14ac:dyDescent="0.15">
      <c r="A57">
        <f t="shared" si="5"/>
        <v>30</v>
      </c>
      <c r="C57" s="13">
        <v>0.19153025705802601</v>
      </c>
      <c r="D57" s="13"/>
      <c r="E57" s="29">
        <f>G54/12</f>
        <v>4.083333333333333</v>
      </c>
      <c r="F57" s="28">
        <f t="shared" si="0"/>
        <v>0</v>
      </c>
      <c r="G57" s="1">
        <v>52</v>
      </c>
      <c r="H57" s="21">
        <v>47574</v>
      </c>
      <c r="I57" s="16">
        <v>43</v>
      </c>
      <c r="J57" s="25">
        <f t="shared" si="11"/>
        <v>16.192103300964</v>
      </c>
      <c r="K57" s="25">
        <f t="shared" si="12"/>
        <v>21.107730163592041</v>
      </c>
      <c r="L57" s="26">
        <f t="shared" si="13"/>
        <v>75.412161525184956</v>
      </c>
      <c r="M57" s="25">
        <f t="shared" si="14"/>
        <v>98.305916590345305</v>
      </c>
      <c r="N57" s="16">
        <f t="shared" si="7"/>
        <v>55.305916590345305</v>
      </c>
      <c r="O57" s="25">
        <f t="shared" si="8"/>
        <v>-26.807896699036</v>
      </c>
      <c r="P57" s="25">
        <f t="shared" si="9"/>
        <v>2049969.1043377391</v>
      </c>
      <c r="Q57" s="25">
        <f t="shared" si="10"/>
        <v>-993661.49904646841</v>
      </c>
      <c r="R57" s="26">
        <f t="shared" si="1"/>
        <v>32.412161525184956</v>
      </c>
      <c r="S57" s="16">
        <f t="shared" si="2"/>
        <v>-21.892269836407959</v>
      </c>
      <c r="T57" s="35">
        <v>37066</v>
      </c>
      <c r="U57" s="26">
        <f t="shared" si="3"/>
        <v>1201389.1790925055</v>
      </c>
      <c r="V57" s="26">
        <f t="shared" si="4"/>
        <v>-811458.8737562974</v>
      </c>
      <c r="W57" s="17"/>
      <c r="X57" s="17"/>
    </row>
    <row r="58" spans="1:24" x14ac:dyDescent="0.15">
      <c r="A58">
        <f t="shared" si="5"/>
        <v>31</v>
      </c>
      <c r="C58" s="13">
        <v>0.35847604983947501</v>
      </c>
      <c r="D58" s="13"/>
      <c r="E58" s="29">
        <f>G55/12</f>
        <v>4.166666666666667</v>
      </c>
      <c r="F58" s="28">
        <f t="shared" si="0"/>
        <v>0</v>
      </c>
      <c r="G58" s="1">
        <v>53</v>
      </c>
      <c r="H58" s="21">
        <v>47604</v>
      </c>
      <c r="I58" s="16">
        <v>36.5</v>
      </c>
      <c r="J58" s="25">
        <f t="shared" si="11"/>
        <v>5.076632079749027</v>
      </c>
      <c r="K58" s="25">
        <f t="shared" si="12"/>
        <v>8.3803304217960406</v>
      </c>
      <c r="L58" s="26">
        <f t="shared" si="13"/>
        <v>93.0651095948852</v>
      </c>
      <c r="M58" s="25">
        <f t="shared" si="14"/>
        <v>153.62869652440043</v>
      </c>
      <c r="N58" s="16">
        <f t="shared" si="7"/>
        <v>117.12869652440043</v>
      </c>
      <c r="O58" s="25">
        <f t="shared" si="8"/>
        <v>-31.423367920250975</v>
      </c>
      <c r="P58" s="25">
        <f t="shared" si="9"/>
        <v>4341492.2653734265</v>
      </c>
      <c r="Q58" s="25">
        <f t="shared" si="10"/>
        <v>-1164738.5553320227</v>
      </c>
      <c r="R58" s="26">
        <f t="shared" si="1"/>
        <v>56.5651095948852</v>
      </c>
      <c r="S58" s="16">
        <f t="shared" si="2"/>
        <v>-28.119669578203961</v>
      </c>
      <c r="T58" s="35">
        <v>37066</v>
      </c>
      <c r="U58" s="26">
        <f t="shared" si="3"/>
        <v>2096642.3522440149</v>
      </c>
      <c r="V58" s="26">
        <f t="shared" si="4"/>
        <v>-1042283.672585708</v>
      </c>
      <c r="W58" s="17"/>
      <c r="X58" s="17"/>
    </row>
    <row r="59" spans="1:24" x14ac:dyDescent="0.15">
      <c r="A59">
        <f t="shared" si="5"/>
        <v>30</v>
      </c>
      <c r="C59" s="13">
        <v>0.20640747309935401</v>
      </c>
      <c r="D59" s="13"/>
      <c r="E59" s="29">
        <f>G56/12</f>
        <v>4.25</v>
      </c>
      <c r="F59" s="28">
        <f t="shared" si="0"/>
        <v>0</v>
      </c>
      <c r="G59" s="1">
        <v>54</v>
      </c>
      <c r="H59" s="21">
        <v>47635</v>
      </c>
      <c r="I59" s="16">
        <v>48.25</v>
      </c>
      <c r="J59" s="25">
        <f t="shared" si="11"/>
        <v>16.352828012796557</v>
      </c>
      <c r="K59" s="25">
        <f t="shared" si="12"/>
        <v>21.8867621419861</v>
      </c>
      <c r="L59" s="26">
        <f t="shared" si="13"/>
        <v>88.751690749425705</v>
      </c>
      <c r="M59" s="25">
        <f t="shared" si="14"/>
        <v>118.786007142724</v>
      </c>
      <c r="N59" s="16">
        <f t="shared" si="7"/>
        <v>70.536007142724003</v>
      </c>
      <c r="O59" s="25">
        <f t="shared" si="8"/>
        <v>-31.897171987203443</v>
      </c>
      <c r="P59" s="25">
        <f t="shared" si="9"/>
        <v>3169041.7289083041</v>
      </c>
      <c r="Q59" s="25">
        <f t="shared" si="10"/>
        <v>-1433076.1430410764</v>
      </c>
      <c r="R59" s="26">
        <f t="shared" si="1"/>
        <v>40.501690749425705</v>
      </c>
      <c r="S59" s="16">
        <f t="shared" si="2"/>
        <v>-26.3632378580139</v>
      </c>
      <c r="T59" s="35">
        <v>44928</v>
      </c>
      <c r="U59" s="26">
        <f t="shared" si="3"/>
        <v>1819659.9619901981</v>
      </c>
      <c r="V59" s="26">
        <f t="shared" si="4"/>
        <v>-1184447.5504848484</v>
      </c>
      <c r="W59" s="17"/>
      <c r="X59" s="17"/>
    </row>
    <row r="60" spans="1:24" x14ac:dyDescent="0.15">
      <c r="A60">
        <f t="shared" si="5"/>
        <v>31</v>
      </c>
      <c r="C60" s="13">
        <v>0.21075682458359901</v>
      </c>
      <c r="D60" s="13"/>
      <c r="E60" s="29">
        <f>G57/12</f>
        <v>4.333333333333333</v>
      </c>
      <c r="F60" s="28">
        <f t="shared" si="0"/>
        <v>0</v>
      </c>
      <c r="G60" s="1">
        <v>55</v>
      </c>
      <c r="H60" s="21">
        <v>47665</v>
      </c>
      <c r="I60" s="16">
        <v>82.5</v>
      </c>
      <c r="J60" s="25">
        <f t="shared" si="11"/>
        <v>26.959300932713436</v>
      </c>
      <c r="K60" s="25">
        <f t="shared" si="12"/>
        <v>36.410427277880622</v>
      </c>
      <c r="L60" s="26">
        <f t="shared" si="13"/>
        <v>154.20170013382779</v>
      </c>
      <c r="M60" s="25">
        <f t="shared" si="14"/>
        <v>208.26021427118624</v>
      </c>
      <c r="N60" s="16">
        <f t="shared" si="7"/>
        <v>125.76021427118624</v>
      </c>
      <c r="O60" s="25">
        <f t="shared" si="8"/>
        <v>-55.540699067286567</v>
      </c>
      <c r="P60" s="25">
        <f t="shared" si="9"/>
        <v>6215195.5494962949</v>
      </c>
      <c r="Q60" s="25">
        <f t="shared" si="10"/>
        <v>-2744876.8886043695</v>
      </c>
      <c r="R60" s="26">
        <f t="shared" si="1"/>
        <v>71.701700133827785</v>
      </c>
      <c r="S60" s="16">
        <f t="shared" si="2"/>
        <v>-46.089572722119378</v>
      </c>
      <c r="T60" s="35">
        <v>49421</v>
      </c>
      <c r="U60" s="26">
        <f t="shared" si="3"/>
        <v>3543569.7223139028</v>
      </c>
      <c r="V60" s="26">
        <f t="shared" si="4"/>
        <v>-2277792.7734998618</v>
      </c>
      <c r="W60" s="17"/>
      <c r="X60" s="17"/>
    </row>
    <row r="61" spans="1:24" x14ac:dyDescent="0.15">
      <c r="A61">
        <f t="shared" si="5"/>
        <v>31</v>
      </c>
      <c r="C61" s="13">
        <v>0.27626370078495099</v>
      </c>
      <c r="D61" s="13"/>
      <c r="E61" s="29">
        <f>G58/12</f>
        <v>4.416666666666667</v>
      </c>
      <c r="F61" s="28">
        <f t="shared" si="0"/>
        <v>0</v>
      </c>
      <c r="G61" s="1">
        <v>56</v>
      </c>
      <c r="H61" s="21">
        <v>47696</v>
      </c>
      <c r="I61" s="16">
        <v>64.099999999999994</v>
      </c>
      <c r="J61" s="25">
        <f t="shared" si="11"/>
        <v>14.000893091618188</v>
      </c>
      <c r="K61" s="25">
        <f t="shared" si="12"/>
        <v>20.839010228874123</v>
      </c>
      <c r="L61" s="26">
        <f t="shared" si="13"/>
        <v>140.74852624991129</v>
      </c>
      <c r="M61" s="25">
        <f t="shared" si="14"/>
        <v>209.49092025970634</v>
      </c>
      <c r="N61" s="16">
        <f t="shared" si="7"/>
        <v>145.39092025970635</v>
      </c>
      <c r="O61" s="25">
        <f t="shared" si="8"/>
        <v>-50.099106908381806</v>
      </c>
      <c r="P61" s="25">
        <f t="shared" si="9"/>
        <v>7185364.6701549478</v>
      </c>
      <c r="Q61" s="25">
        <f t="shared" si="10"/>
        <v>-2475947.9625191372</v>
      </c>
      <c r="R61" s="26">
        <f t="shared" si="1"/>
        <v>76.648526249911299</v>
      </c>
      <c r="S61" s="16">
        <f t="shared" si="2"/>
        <v>-43.260989771125871</v>
      </c>
      <c r="T61" s="35">
        <v>49421</v>
      </c>
      <c r="U61" s="26">
        <f t="shared" si="3"/>
        <v>3788046.8157968665</v>
      </c>
      <c r="V61" s="26">
        <f t="shared" si="4"/>
        <v>-2138001.3754788116</v>
      </c>
      <c r="W61" s="17"/>
      <c r="X61" s="17"/>
    </row>
    <row r="62" spans="1:24" x14ac:dyDescent="0.15">
      <c r="A62">
        <f t="shared" si="5"/>
        <v>30</v>
      </c>
      <c r="C62" s="13">
        <v>0.21004932506034199</v>
      </c>
      <c r="D62" s="13"/>
      <c r="E62" s="29">
        <f>G59/12</f>
        <v>4.5</v>
      </c>
      <c r="F62" s="28">
        <f t="shared" si="0"/>
        <v>0</v>
      </c>
      <c r="G62" s="1">
        <v>57</v>
      </c>
      <c r="H62" s="21">
        <v>47727</v>
      </c>
      <c r="I62" s="16">
        <v>39</v>
      </c>
      <c r="J62" s="25">
        <f t="shared" si="11"/>
        <v>12.504445068280036</v>
      </c>
      <c r="K62" s="25">
        <f t="shared" si="12"/>
        <v>16.967636467559608</v>
      </c>
      <c r="L62" s="26">
        <f t="shared" si="13"/>
        <v>73.499034090301436</v>
      </c>
      <c r="M62" s="25">
        <f t="shared" si="14"/>
        <v>99.732925719713066</v>
      </c>
      <c r="N62" s="16">
        <f t="shared" si="7"/>
        <v>60.732925719713066</v>
      </c>
      <c r="O62" s="25">
        <f t="shared" si="8"/>
        <v>-26.495554931719965</v>
      </c>
      <c r="P62" s="25">
        <f t="shared" si="9"/>
        <v>2046456.6650514514</v>
      </c>
      <c r="Q62" s="25">
        <f t="shared" si="10"/>
        <v>-892794.21897923597</v>
      </c>
      <c r="R62" s="26">
        <f t="shared" si="1"/>
        <v>34.499034090301436</v>
      </c>
      <c r="S62" s="16">
        <f t="shared" si="2"/>
        <v>-22.032363532440392</v>
      </c>
      <c r="T62" s="35">
        <v>33696</v>
      </c>
      <c r="U62" s="26">
        <f t="shared" si="3"/>
        <v>1162479.4527067973</v>
      </c>
      <c r="V62" s="26">
        <f t="shared" si="4"/>
        <v>-742402.52158911142</v>
      </c>
      <c r="W62" s="17"/>
      <c r="X62" s="17"/>
    </row>
    <row r="63" spans="1:24" x14ac:dyDescent="0.15">
      <c r="A63">
        <f t="shared" si="5"/>
        <v>31</v>
      </c>
      <c r="C63" s="13">
        <v>0.32327447549514399</v>
      </c>
      <c r="D63" s="13"/>
      <c r="E63" s="29">
        <f>G60/12</f>
        <v>4.583333333333333</v>
      </c>
      <c r="F63" s="28">
        <f t="shared" si="0"/>
        <v>0</v>
      </c>
      <c r="G63" s="1">
        <v>58</v>
      </c>
      <c r="H63" s="21">
        <v>47757</v>
      </c>
      <c r="I63" s="16">
        <v>39</v>
      </c>
      <c r="J63" s="25">
        <f t="shared" si="11"/>
        <v>6.1196185442558546</v>
      </c>
      <c r="K63" s="25">
        <f t="shared" si="12"/>
        <v>9.8313960018534452</v>
      </c>
      <c r="L63" s="26">
        <f t="shared" si="13"/>
        <v>95.827983813091123</v>
      </c>
      <c r="M63" s="25">
        <f t="shared" si="14"/>
        <v>153.95123897224269</v>
      </c>
      <c r="N63" s="16">
        <f t="shared" si="7"/>
        <v>114.95123897224269</v>
      </c>
      <c r="O63" s="25">
        <f t="shared" si="8"/>
        <v>-32.880381455744143</v>
      </c>
      <c r="P63" s="25">
        <f t="shared" si="9"/>
        <v>4454360.5101744039</v>
      </c>
      <c r="Q63" s="25">
        <f t="shared" si="10"/>
        <v>-1274114.7814100855</v>
      </c>
      <c r="R63" s="26">
        <f t="shared" si="1"/>
        <v>56.827983813091123</v>
      </c>
      <c r="S63" s="16">
        <f t="shared" si="2"/>
        <v>-29.168603998146555</v>
      </c>
      <c r="T63" s="35">
        <v>38750</v>
      </c>
      <c r="U63" s="26">
        <f t="shared" si="3"/>
        <v>2202084.3727572812</v>
      </c>
      <c r="V63" s="26">
        <f t="shared" si="4"/>
        <v>-1130283.404928179</v>
      </c>
      <c r="W63" s="17"/>
      <c r="X63" s="17"/>
    </row>
    <row r="64" spans="1:24" x14ac:dyDescent="0.15">
      <c r="A64">
        <f t="shared" si="5"/>
        <v>30</v>
      </c>
      <c r="C64" s="13">
        <v>0.33029793826201398</v>
      </c>
      <c r="D64" s="13"/>
      <c r="E64" s="29">
        <f>G61/12</f>
        <v>4.666666666666667</v>
      </c>
      <c r="F64" s="28">
        <f t="shared" si="0"/>
        <v>0</v>
      </c>
      <c r="G64" s="1">
        <v>59</v>
      </c>
      <c r="H64" s="21">
        <v>47788</v>
      </c>
      <c r="I64" s="16">
        <v>54.25</v>
      </c>
      <c r="J64" s="25">
        <f t="shared" si="11"/>
        <v>7.9767454050330659</v>
      </c>
      <c r="K64" s="25">
        <f t="shared" si="12"/>
        <v>13.00449641526205</v>
      </c>
      <c r="L64" s="26">
        <f t="shared" si="13"/>
        <v>136.01875015102794</v>
      </c>
      <c r="M64" s="25">
        <f t="shared" si="14"/>
        <v>221.75151129072984</v>
      </c>
      <c r="N64" s="16">
        <f t="shared" si="7"/>
        <v>167.50151129072984</v>
      </c>
      <c r="O64" s="25">
        <f t="shared" si="8"/>
        <v>-46.273254594966936</v>
      </c>
      <c r="P64" s="25">
        <f t="shared" si="9"/>
        <v>7525507.8992699105</v>
      </c>
      <c r="Q64" s="25">
        <f t="shared" si="10"/>
        <v>-2078964.7824426745</v>
      </c>
      <c r="R64" s="26">
        <f t="shared" si="1"/>
        <v>81.768750151027945</v>
      </c>
      <c r="S64" s="16">
        <f t="shared" si="2"/>
        <v>-41.245503584737946</v>
      </c>
      <c r="T64" s="35">
        <v>44928</v>
      </c>
      <c r="U64" s="26">
        <f t="shared" si="3"/>
        <v>3673706.4067853834</v>
      </c>
      <c r="V64" s="26">
        <f t="shared" si="4"/>
        <v>-1853077.9850551065</v>
      </c>
      <c r="W64" s="17"/>
      <c r="X64" s="17"/>
    </row>
    <row r="65" spans="1:24" x14ac:dyDescent="0.15">
      <c r="A65">
        <f t="shared" si="5"/>
        <v>31</v>
      </c>
      <c r="C65" s="13">
        <v>0.225297601015571</v>
      </c>
      <c r="D65" s="13"/>
      <c r="E65" s="29">
        <f>G62/12</f>
        <v>4.75</v>
      </c>
      <c r="F65" s="28">
        <f t="shared" si="0"/>
        <v>0</v>
      </c>
      <c r="G65" s="1">
        <v>60</v>
      </c>
      <c r="H65" s="21">
        <v>47818</v>
      </c>
      <c r="I65" s="16">
        <v>89.75</v>
      </c>
      <c r="J65" s="25">
        <f t="shared" si="11"/>
        <v>25.34009040346908</v>
      </c>
      <c r="K65" s="25">
        <f t="shared" si="12"/>
        <v>35.471859347985202</v>
      </c>
      <c r="L65" s="26">
        <f t="shared" si="13"/>
        <v>178.43262413976748</v>
      </c>
      <c r="M65" s="25">
        <f t="shared" si="14"/>
        <v>249.77562612449285</v>
      </c>
      <c r="N65" s="16">
        <f t="shared" si="7"/>
        <v>160.02562612449285</v>
      </c>
      <c r="O65" s="25">
        <f t="shared" si="8"/>
        <v>-64.409909596530923</v>
      </c>
      <c r="P65" s="25">
        <f t="shared" si="9"/>
        <v>7549048.8867968256</v>
      </c>
      <c r="Q65" s="25">
        <f t="shared" si="10"/>
        <v>-3038473.0753067499</v>
      </c>
      <c r="R65" s="26">
        <f t="shared" si="1"/>
        <v>88.682624139767483</v>
      </c>
      <c r="S65" s="16">
        <f t="shared" si="2"/>
        <v>-54.278140652014798</v>
      </c>
      <c r="T65" s="35">
        <v>47174</v>
      </c>
      <c r="U65" s="26">
        <f t="shared" si="3"/>
        <v>4183514.1111693913</v>
      </c>
      <c r="V65" s="26">
        <f t="shared" si="4"/>
        <v>-2560517.0071181459</v>
      </c>
      <c r="W65" s="17"/>
      <c r="X65" s="17"/>
    </row>
    <row r="66" spans="1:24" x14ac:dyDescent="0.15">
      <c r="A66">
        <f t="shared" si="5"/>
        <v>31</v>
      </c>
      <c r="C66" s="13">
        <v>0.32858722008401198</v>
      </c>
      <c r="D66" s="13"/>
      <c r="E66" s="29">
        <f>G63/12</f>
        <v>4.833333333333333</v>
      </c>
      <c r="F66" s="28">
        <f t="shared" si="0"/>
        <v>0</v>
      </c>
      <c r="G66" s="1">
        <v>61</v>
      </c>
      <c r="H66" s="21">
        <v>47849</v>
      </c>
      <c r="I66" s="16">
        <v>144.25</v>
      </c>
      <c r="J66" s="25">
        <f t="shared" si="11"/>
        <v>20.64439363457976</v>
      </c>
      <c r="K66" s="25">
        <f t="shared" si="12"/>
        <v>33.861665973005778</v>
      </c>
      <c r="L66" s="26">
        <f t="shared" si="13"/>
        <v>364.65779079555722</v>
      </c>
      <c r="M66" s="25">
        <f t="shared" si="14"/>
        <v>598.1246301024978</v>
      </c>
      <c r="N66" s="16">
        <f t="shared" si="7"/>
        <v>453.8746301024978</v>
      </c>
      <c r="O66" s="25">
        <f t="shared" si="8"/>
        <v>-123.60560636542024</v>
      </c>
      <c r="P66" s="25">
        <f t="shared" si="9"/>
        <v>22430938.094295543</v>
      </c>
      <c r="Q66" s="25">
        <f t="shared" si="10"/>
        <v>-6108712.672185434</v>
      </c>
      <c r="R66" s="26">
        <f t="shared" si="1"/>
        <v>220.40779079555722</v>
      </c>
      <c r="S66" s="16">
        <f t="shared" si="2"/>
        <v>-110.38833402699422</v>
      </c>
      <c r="T66" s="35">
        <v>49421</v>
      </c>
      <c r="U66" s="26">
        <f t="shared" si="3"/>
        <v>10892773.428907234</v>
      </c>
      <c r="V66" s="26">
        <f t="shared" si="4"/>
        <v>-5455501.8559480812</v>
      </c>
      <c r="W66" s="17"/>
      <c r="X66" s="17"/>
    </row>
    <row r="67" spans="1:24" x14ac:dyDescent="0.15">
      <c r="A67">
        <f t="shared" si="5"/>
        <v>28</v>
      </c>
      <c r="C67" s="13">
        <v>0.44789491535035098</v>
      </c>
      <c r="D67" s="13"/>
      <c r="E67" s="29">
        <f>G64/12</f>
        <v>4.916666666666667</v>
      </c>
      <c r="F67" s="28">
        <f t="shared" si="0"/>
        <v>0</v>
      </c>
      <c r="G67" s="1">
        <v>62</v>
      </c>
      <c r="H67" s="21">
        <v>47880</v>
      </c>
      <c r="I67" s="16">
        <v>125.25</v>
      </c>
      <c r="J67" s="25">
        <f t="shared" si="11"/>
        <v>7.5619122342932084</v>
      </c>
      <c r="K67" s="25">
        <f t="shared" si="12"/>
        <v>14.930806516181823</v>
      </c>
      <c r="L67" s="26">
        <f t="shared" si="13"/>
        <v>391.84449393902457</v>
      </c>
      <c r="M67" s="25">
        <f t="shared" si="14"/>
        <v>773.68714977972695</v>
      </c>
      <c r="N67" s="16">
        <f t="shared" si="7"/>
        <v>648.43714977972695</v>
      </c>
      <c r="O67" s="25">
        <f t="shared" si="8"/>
        <v>-117.6880877657068</v>
      </c>
      <c r="P67" s="25">
        <f t="shared" si="9"/>
        <v>29132984.265303571</v>
      </c>
      <c r="Q67" s="25">
        <f t="shared" si="10"/>
        <v>-5287490.4071376752</v>
      </c>
      <c r="R67" s="26">
        <f t="shared" si="1"/>
        <v>266.59449393902457</v>
      </c>
      <c r="S67" s="16">
        <f t="shared" si="2"/>
        <v>-110.31919348381818</v>
      </c>
      <c r="T67" s="35">
        <v>44928</v>
      </c>
      <c r="U67" s="26">
        <f t="shared" si="3"/>
        <v>11977557.423692496</v>
      </c>
      <c r="V67" s="26">
        <f t="shared" si="4"/>
        <v>-4956420.7248409837</v>
      </c>
      <c r="W67" s="17"/>
      <c r="X67" s="17"/>
    </row>
    <row r="68" spans="1:24" x14ac:dyDescent="0.15">
      <c r="A68">
        <f t="shared" si="5"/>
        <v>31</v>
      </c>
      <c r="C68" s="13">
        <v>0.26375971098385198</v>
      </c>
      <c r="D68" s="13"/>
      <c r="E68" s="29">
        <f>G65/12</f>
        <v>5</v>
      </c>
      <c r="F68" s="28">
        <f t="shared" si="0"/>
        <v>0</v>
      </c>
      <c r="G68" s="1">
        <v>63</v>
      </c>
      <c r="H68" s="21">
        <v>47908</v>
      </c>
      <c r="I68" s="16">
        <v>65.25</v>
      </c>
      <c r="J68" s="25">
        <f t="shared" si="11"/>
        <v>13.875224837915587</v>
      </c>
      <c r="K68" s="25">
        <f t="shared" si="12"/>
        <v>20.782418083863323</v>
      </c>
      <c r="L68" s="26">
        <f t="shared" si="13"/>
        <v>144.67629838162884</v>
      </c>
      <c r="M68" s="25">
        <f t="shared" si="14"/>
        <v>216.69726832653291</v>
      </c>
      <c r="N68" s="16">
        <f t="shared" si="7"/>
        <v>151.44726832653291</v>
      </c>
      <c r="O68" s="25">
        <f t="shared" si="8"/>
        <v>-51.374775162084411</v>
      </c>
      <c r="P68" s="25">
        <f t="shared" si="9"/>
        <v>7144373.4360358631</v>
      </c>
      <c r="Q68" s="25">
        <f t="shared" si="10"/>
        <v>-2423553.6434961702</v>
      </c>
      <c r="R68" s="26">
        <f t="shared" si="1"/>
        <v>79.42629838162884</v>
      </c>
      <c r="S68" s="16">
        <f t="shared" si="2"/>
        <v>-44.46758191613668</v>
      </c>
      <c r="T68" s="35">
        <v>47174</v>
      </c>
      <c r="U68" s="26">
        <f t="shared" si="3"/>
        <v>3746856.1998549588</v>
      </c>
      <c r="V68" s="26">
        <f t="shared" si="4"/>
        <v>-2097713.7093118317</v>
      </c>
      <c r="W68" s="17"/>
      <c r="X68" s="17"/>
    </row>
    <row r="69" spans="1:24" x14ac:dyDescent="0.15">
      <c r="A69">
        <f t="shared" si="5"/>
        <v>30</v>
      </c>
      <c r="C69" s="13">
        <v>0.19153025705802601</v>
      </c>
      <c r="D69" s="13"/>
      <c r="E69" s="29">
        <f>G66/12</f>
        <v>5.083333333333333</v>
      </c>
      <c r="F69" s="28">
        <f t="shared" si="0"/>
        <v>0</v>
      </c>
      <c r="G69" s="1">
        <v>64</v>
      </c>
      <c r="H69" s="21">
        <v>47939</v>
      </c>
      <c r="I69" s="16">
        <v>43</v>
      </c>
      <c r="J69" s="25">
        <f t="shared" si="11"/>
        <v>14.322056027401002</v>
      </c>
      <c r="K69" s="25">
        <f t="shared" si="12"/>
        <v>19.251779785131976</v>
      </c>
      <c r="L69" s="26">
        <f t="shared" si="13"/>
        <v>79.704060762884367</v>
      </c>
      <c r="M69" s="25">
        <f t="shared" si="14"/>
        <v>107.13859957342176</v>
      </c>
      <c r="N69" s="16">
        <f t="shared" si="7"/>
        <v>64.138599573421757</v>
      </c>
      <c r="O69" s="25">
        <f t="shared" si="8"/>
        <v>-28.677943972598996</v>
      </c>
      <c r="P69" s="25">
        <f t="shared" si="9"/>
        <v>2377361.3317884509</v>
      </c>
      <c r="Q69" s="25">
        <f t="shared" si="10"/>
        <v>-1062976.6712883543</v>
      </c>
      <c r="R69" s="26">
        <f t="shared" si="1"/>
        <v>36.704060762884367</v>
      </c>
      <c r="S69" s="16">
        <f t="shared" si="2"/>
        <v>-23.748220214868024</v>
      </c>
      <c r="T69" s="35">
        <v>37066</v>
      </c>
      <c r="U69" s="26">
        <f t="shared" si="3"/>
        <v>1360472.7162370719</v>
      </c>
      <c r="V69" s="26">
        <f t="shared" si="4"/>
        <v>-880251.53048429813</v>
      </c>
      <c r="W69" s="17"/>
      <c r="X69" s="17"/>
    </row>
    <row r="70" spans="1:24" x14ac:dyDescent="0.15">
      <c r="A70">
        <f t="shared" si="5"/>
        <v>31</v>
      </c>
      <c r="C70" s="13">
        <v>0.35847604983947501</v>
      </c>
      <c r="D70" s="13"/>
      <c r="E70" s="29">
        <f>G67/12</f>
        <v>5.166666666666667</v>
      </c>
      <c r="F70" s="28">
        <f t="shared" ref="F70:F89" si="15">$D$2</f>
        <v>0</v>
      </c>
      <c r="G70" s="1">
        <v>65</v>
      </c>
      <c r="H70" s="21">
        <v>47969</v>
      </c>
      <c r="I70" s="16">
        <v>36.5</v>
      </c>
      <c r="J70" s="25">
        <f t="shared" si="11"/>
        <v>3.9227545242272268</v>
      </c>
      <c r="K70" s="25">
        <f t="shared" si="12"/>
        <v>6.8548095494033507</v>
      </c>
      <c r="L70" s="26">
        <f t="shared" si="13"/>
        <v>100.05610580281382</v>
      </c>
      <c r="M70" s="25">
        <f t="shared" si="14"/>
        <v>174.84284201248963</v>
      </c>
      <c r="N70" s="16">
        <f t="shared" si="7"/>
        <v>138.34284201248963</v>
      </c>
      <c r="O70" s="25">
        <f t="shared" si="8"/>
        <v>-32.57724547577277</v>
      </c>
      <c r="P70" s="25">
        <f t="shared" si="9"/>
        <v>4894708.0932438951</v>
      </c>
      <c r="Q70" s="25">
        <f t="shared" si="10"/>
        <v>-1152615.5221783165</v>
      </c>
      <c r="R70" s="26">
        <f t="shared" ref="R70:R89" si="16">L70-I70</f>
        <v>63.556105802813818</v>
      </c>
      <c r="S70" s="16">
        <f t="shared" ref="S70:S89" si="17">K70-I70</f>
        <v>-29.645190450596651</v>
      </c>
      <c r="T70" s="35">
        <v>35381</v>
      </c>
      <c r="U70" s="26">
        <f t="shared" ref="U70:U117" si="18">R70*T70</f>
        <v>2248678.5794093558</v>
      </c>
      <c r="V70" s="26">
        <f t="shared" ref="V70:V117" si="19">S70*T70</f>
        <v>-1048876.4833325602</v>
      </c>
      <c r="W70" s="17"/>
      <c r="X70" s="17"/>
    </row>
    <row r="71" spans="1:24" x14ac:dyDescent="0.15">
      <c r="A71">
        <f t="shared" ref="A71:A84" si="20">DAY(EOMONTH(H71,0))</f>
        <v>30</v>
      </c>
      <c r="C71" s="13">
        <v>0.20640747309935401</v>
      </c>
      <c r="D71" s="13"/>
      <c r="E71" s="29">
        <f>G68/12</f>
        <v>5.25</v>
      </c>
      <c r="F71" s="28">
        <f t="shared" si="15"/>
        <v>0</v>
      </c>
      <c r="G71" s="1">
        <v>66</v>
      </c>
      <c r="H71" s="21">
        <v>48000</v>
      </c>
      <c r="I71" s="16">
        <v>48.25</v>
      </c>
      <c r="J71" s="25">
        <f t="shared" si="11"/>
        <v>14.333686866716034</v>
      </c>
      <c r="K71" s="25">
        <f t="shared" si="12"/>
        <v>19.817703653792243</v>
      </c>
      <c r="L71" s="26">
        <f t="shared" si="13"/>
        <v>93.929524098355529</v>
      </c>
      <c r="M71" s="25">
        <f t="shared" si="14"/>
        <v>129.86662051655551</v>
      </c>
      <c r="N71" s="16">
        <f t="shared" ref="N71:N89" si="21">M71-I71</f>
        <v>81.616620516555514</v>
      </c>
      <c r="O71" s="25">
        <f t="shared" ref="O71:O92" si="22">J71-I71</f>
        <v>-33.916313133283964</v>
      </c>
      <c r="P71" s="25">
        <f t="shared" ref="P71:P89" si="23">N71*T71</f>
        <v>3850182.45624799</v>
      </c>
      <c r="Q71" s="25">
        <f t="shared" ref="Q71:Q89" si="24">O71*T71</f>
        <v>-1599968.1557495377</v>
      </c>
      <c r="R71" s="26">
        <f t="shared" si="16"/>
        <v>45.679524098355529</v>
      </c>
      <c r="S71" s="16">
        <f t="shared" si="17"/>
        <v>-28.432296346207757</v>
      </c>
      <c r="T71" s="35">
        <v>47174</v>
      </c>
      <c r="U71" s="26">
        <f t="shared" si="18"/>
        <v>2154885.8698158236</v>
      </c>
      <c r="V71" s="26">
        <f t="shared" si="19"/>
        <v>-1341265.1478360046</v>
      </c>
      <c r="W71" s="17"/>
      <c r="X71" s="17"/>
    </row>
    <row r="72" spans="1:24" x14ac:dyDescent="0.15">
      <c r="A72">
        <f t="shared" si="20"/>
        <v>31</v>
      </c>
      <c r="C72" s="13">
        <v>0.21075682458359901</v>
      </c>
      <c r="D72" s="13"/>
      <c r="E72" s="29">
        <f>G69/12</f>
        <v>5.333333333333333</v>
      </c>
      <c r="F72" s="28">
        <f t="shared" si="15"/>
        <v>0</v>
      </c>
      <c r="G72" s="1">
        <v>67</v>
      </c>
      <c r="H72" s="21">
        <v>48030</v>
      </c>
      <c r="I72" s="16">
        <v>82.5</v>
      </c>
      <c r="J72" s="25">
        <f t="shared" si="11"/>
        <v>23.577356349245459</v>
      </c>
      <c r="K72" s="25">
        <f t="shared" si="12"/>
        <v>32.907196435296989</v>
      </c>
      <c r="L72" s="26">
        <f t="shared" si="13"/>
        <v>163.20496653746531</v>
      </c>
      <c r="M72" s="25">
        <f t="shared" si="14"/>
        <v>227.78711122276943</v>
      </c>
      <c r="N72" s="16">
        <f t="shared" si="21"/>
        <v>145.28711122276943</v>
      </c>
      <c r="O72" s="25">
        <f t="shared" si="22"/>
        <v>-58.922643650754537</v>
      </c>
      <c r="P72" s="25">
        <f t="shared" si="23"/>
        <v>7180234.3237404879</v>
      </c>
      <c r="Q72" s="25">
        <f t="shared" si="24"/>
        <v>-2912015.9718639399</v>
      </c>
      <c r="R72" s="26">
        <f t="shared" si="16"/>
        <v>80.70496653746531</v>
      </c>
      <c r="S72" s="16">
        <f t="shared" si="17"/>
        <v>-49.592803564703011</v>
      </c>
      <c r="T72" s="35">
        <v>49421</v>
      </c>
      <c r="U72" s="26">
        <f t="shared" si="18"/>
        <v>3988520.1512480732</v>
      </c>
      <c r="V72" s="26">
        <f t="shared" si="19"/>
        <v>-2450925.9449711875</v>
      </c>
      <c r="W72" s="17"/>
      <c r="X72" s="17"/>
    </row>
    <row r="73" spans="1:24" x14ac:dyDescent="0.15">
      <c r="A73">
        <f t="shared" si="20"/>
        <v>31</v>
      </c>
      <c r="C73" s="13">
        <v>0.27626370078495099</v>
      </c>
      <c r="D73" s="13"/>
      <c r="E73" s="29">
        <f>G70/12</f>
        <v>5.416666666666667</v>
      </c>
      <c r="F73" s="28">
        <f t="shared" si="15"/>
        <v>0</v>
      </c>
      <c r="G73" s="1">
        <v>68</v>
      </c>
      <c r="H73" s="21">
        <v>48061</v>
      </c>
      <c r="I73" s="16">
        <v>64.099999999999994</v>
      </c>
      <c r="J73" s="25">
        <f t="shared" si="11"/>
        <v>11.653688084826712</v>
      </c>
      <c r="K73" s="25">
        <f t="shared" si="12"/>
        <v>18.10261336521728</v>
      </c>
      <c r="L73" s="26">
        <f t="shared" si="13"/>
        <v>150.11828847764028</v>
      </c>
      <c r="M73" s="25">
        <f t="shared" si="14"/>
        <v>233.19084186723222</v>
      </c>
      <c r="N73" s="16">
        <f t="shared" si="21"/>
        <v>169.09084186723223</v>
      </c>
      <c r="O73" s="25">
        <f t="shared" si="22"/>
        <v>-52.446311915173283</v>
      </c>
      <c r="P73" s="25">
        <f t="shared" si="23"/>
        <v>7976691.3742448129</v>
      </c>
      <c r="Q73" s="25">
        <f t="shared" si="24"/>
        <v>-2474102.3182863845</v>
      </c>
      <c r="R73" s="26">
        <f t="shared" si="16"/>
        <v>86.018288477640283</v>
      </c>
      <c r="S73" s="16">
        <f t="shared" si="17"/>
        <v>-45.997386634782714</v>
      </c>
      <c r="T73" s="35">
        <v>47174</v>
      </c>
      <c r="U73" s="26">
        <f t="shared" si="18"/>
        <v>4057826.7406442026</v>
      </c>
      <c r="V73" s="26">
        <f t="shared" si="19"/>
        <v>-2169880.7171092397</v>
      </c>
      <c r="W73" s="17"/>
      <c r="X73" s="17"/>
    </row>
    <row r="74" spans="1:24" x14ac:dyDescent="0.15">
      <c r="A74">
        <f t="shared" si="20"/>
        <v>30</v>
      </c>
      <c r="C74" s="13">
        <v>0.21004932506034199</v>
      </c>
      <c r="D74" s="13"/>
      <c r="E74" s="29">
        <f>G71/12</f>
        <v>5.5</v>
      </c>
      <c r="F74" s="28">
        <f t="shared" si="15"/>
        <v>0</v>
      </c>
      <c r="G74" s="1">
        <v>69</v>
      </c>
      <c r="H74" s="21">
        <v>48092</v>
      </c>
      <c r="I74" s="16">
        <v>39</v>
      </c>
      <c r="J74" s="25">
        <f t="shared" ref="J74:J92" si="25">$I74*EXP(($F74-0.5*$C74^2)*$E74-$C74*SQRT($E74)*$F$2)</f>
        <v>10.96216638367749</v>
      </c>
      <c r="K74" s="25">
        <f t="shared" ref="K74:K89" si="26">$I74*EXP(($F74-0.5*$C74^2)*$E74-$C74*SQRT($E74)*$G$2)</f>
        <v>15.361852368534334</v>
      </c>
      <c r="L74" s="26">
        <f t="shared" ref="L74:L89" si="27">$I74*EXP(($F74-0.5*$C74^2)*$E74+$C74*SQRT($E74)*$G$2)</f>
        <v>77.677995621434178</v>
      </c>
      <c r="M74" s="25">
        <f t="shared" ref="M74:M92" si="28">$I74*EXP(($F74-0.5*$C74^2)*$E74+$C74*SQRT($E74)*$F$2)</f>
        <v>108.85420447521231</v>
      </c>
      <c r="N74" s="16">
        <f t="shared" si="21"/>
        <v>69.854204475212313</v>
      </c>
      <c r="O74" s="25">
        <f t="shared" si="22"/>
        <v>-28.037833616322509</v>
      </c>
      <c r="P74" s="25">
        <f t="shared" si="23"/>
        <v>2471511.6085374868</v>
      </c>
      <c r="Q74" s="25">
        <f t="shared" si="24"/>
        <v>-992006.59117910673</v>
      </c>
      <c r="R74" s="26">
        <f t="shared" si="16"/>
        <v>38.677995621434178</v>
      </c>
      <c r="S74" s="16">
        <f t="shared" si="17"/>
        <v>-23.638147631465664</v>
      </c>
      <c r="T74" s="35">
        <v>35381</v>
      </c>
      <c r="U74" s="26">
        <f t="shared" si="18"/>
        <v>1368466.1630819626</v>
      </c>
      <c r="V74" s="26">
        <f t="shared" si="19"/>
        <v>-836341.30134888669</v>
      </c>
      <c r="W74" s="17"/>
      <c r="X74" s="17"/>
    </row>
    <row r="75" spans="1:24" x14ac:dyDescent="0.15">
      <c r="A75">
        <f t="shared" si="20"/>
        <v>31</v>
      </c>
      <c r="C75" s="13">
        <v>0.32327447549514399</v>
      </c>
      <c r="D75" s="13"/>
      <c r="E75" s="29">
        <f>G72/12</f>
        <v>5.583333333333333</v>
      </c>
      <c r="F75" s="28">
        <f t="shared" si="15"/>
        <v>0</v>
      </c>
      <c r="G75" s="1">
        <v>70</v>
      </c>
      <c r="H75" s="21">
        <v>48122</v>
      </c>
      <c r="I75" s="16">
        <v>39</v>
      </c>
      <c r="J75" s="25">
        <f t="shared" si="25"/>
        <v>4.9135795751887059</v>
      </c>
      <c r="K75" s="25">
        <f t="shared" si="26"/>
        <v>8.2916762146995335</v>
      </c>
      <c r="L75" s="26">
        <f t="shared" si="27"/>
        <v>102.34783459635277</v>
      </c>
      <c r="M75" s="25">
        <f t="shared" si="28"/>
        <v>172.71219337401047</v>
      </c>
      <c r="N75" s="16">
        <f t="shared" si="21"/>
        <v>133.71219337401047</v>
      </c>
      <c r="O75" s="25">
        <f t="shared" si="22"/>
        <v>-34.086420424811294</v>
      </c>
      <c r="P75" s="25">
        <f t="shared" si="23"/>
        <v>5181347.4932429055</v>
      </c>
      <c r="Q75" s="25">
        <f t="shared" si="24"/>
        <v>-1320848.7914614377</v>
      </c>
      <c r="R75" s="26">
        <f t="shared" si="16"/>
        <v>63.347834596352769</v>
      </c>
      <c r="S75" s="16">
        <f t="shared" si="17"/>
        <v>-30.708323785300465</v>
      </c>
      <c r="T75" s="35">
        <v>38750</v>
      </c>
      <c r="U75" s="26">
        <f t="shared" si="18"/>
        <v>2454728.5906086699</v>
      </c>
      <c r="V75" s="26">
        <f t="shared" si="19"/>
        <v>-1189947.5466803929</v>
      </c>
      <c r="W75" s="17"/>
      <c r="X75" s="17"/>
    </row>
    <row r="76" spans="1:24" x14ac:dyDescent="0.15">
      <c r="A76">
        <f t="shared" si="20"/>
        <v>30</v>
      </c>
      <c r="C76" s="13">
        <v>0.33029793826201398</v>
      </c>
      <c r="D76" s="13"/>
      <c r="E76" s="29">
        <f>G73/12</f>
        <v>5.666666666666667</v>
      </c>
      <c r="F76" s="28">
        <f t="shared" si="15"/>
        <v>0</v>
      </c>
      <c r="G76" s="1">
        <v>71</v>
      </c>
      <c r="H76" s="21">
        <v>48153</v>
      </c>
      <c r="I76" s="16">
        <v>54.25</v>
      </c>
      <c r="J76" s="25">
        <f t="shared" si="25"/>
        <v>6.3757069100844914</v>
      </c>
      <c r="K76" s="25">
        <f t="shared" si="26"/>
        <v>10.925368067109785</v>
      </c>
      <c r="L76" s="26">
        <f t="shared" si="27"/>
        <v>145.16975212043985</v>
      </c>
      <c r="M76" s="25">
        <f t="shared" si="28"/>
        <v>248.76190146354739</v>
      </c>
      <c r="N76" s="16">
        <f t="shared" si="21"/>
        <v>194.51190146354739</v>
      </c>
      <c r="O76" s="25">
        <f t="shared" si="22"/>
        <v>-47.874293089915511</v>
      </c>
      <c r="P76" s="25">
        <f t="shared" si="23"/>
        <v>8302156.9782671295</v>
      </c>
      <c r="Q76" s="25">
        <f t="shared" si="24"/>
        <v>-2043370.5776637739</v>
      </c>
      <c r="R76" s="26">
        <f t="shared" si="16"/>
        <v>90.919752120439853</v>
      </c>
      <c r="S76" s="16">
        <f t="shared" si="17"/>
        <v>-43.324631932890213</v>
      </c>
      <c r="T76" s="35">
        <v>42682</v>
      </c>
      <c r="U76" s="26">
        <f t="shared" si="18"/>
        <v>3880636.8600046136</v>
      </c>
      <c r="V76" s="26">
        <f t="shared" si="19"/>
        <v>-1849181.94015962</v>
      </c>
      <c r="W76" s="17"/>
      <c r="X76" s="17"/>
    </row>
    <row r="77" spans="1:24" x14ac:dyDescent="0.15">
      <c r="A77">
        <f t="shared" si="20"/>
        <v>31</v>
      </c>
      <c r="C77" s="13">
        <v>0.225297601015571</v>
      </c>
      <c r="D77" s="13"/>
      <c r="E77" s="29">
        <f>G74/12</f>
        <v>5.75</v>
      </c>
      <c r="F77" s="28">
        <f t="shared" si="15"/>
        <v>0</v>
      </c>
      <c r="G77" s="1">
        <v>72</v>
      </c>
      <c r="H77" s="21">
        <v>48183</v>
      </c>
      <c r="I77" s="16">
        <v>89.75</v>
      </c>
      <c r="J77" s="25">
        <f t="shared" si="25"/>
        <v>22.028251722685834</v>
      </c>
      <c r="K77" s="25">
        <f t="shared" si="26"/>
        <v>31.893218362729701</v>
      </c>
      <c r="L77" s="26">
        <f t="shared" si="27"/>
        <v>188.63206207945251</v>
      </c>
      <c r="M77" s="25">
        <f t="shared" si="28"/>
        <v>273.10762659917714</v>
      </c>
      <c r="N77" s="16">
        <f t="shared" si="21"/>
        <v>183.35762659917714</v>
      </c>
      <c r="O77" s="25">
        <f t="shared" si="22"/>
        <v>-67.721748277314163</v>
      </c>
      <c r="P77" s="25">
        <f t="shared" si="23"/>
        <v>9061717.2641579341</v>
      </c>
      <c r="Q77" s="25">
        <f t="shared" si="24"/>
        <v>-3346876.5216131434</v>
      </c>
      <c r="R77" s="26">
        <f t="shared" si="16"/>
        <v>98.88206207945251</v>
      </c>
      <c r="S77" s="16">
        <f t="shared" si="17"/>
        <v>-57.856781637270302</v>
      </c>
      <c r="T77" s="35">
        <v>49421</v>
      </c>
      <c r="U77" s="26">
        <f t="shared" si="18"/>
        <v>4886850.3900286229</v>
      </c>
      <c r="V77" s="26">
        <f t="shared" si="19"/>
        <v>-2859340.0052955355</v>
      </c>
      <c r="W77" s="17"/>
      <c r="X77" s="17"/>
    </row>
    <row r="78" spans="1:24" x14ac:dyDescent="0.15">
      <c r="A78">
        <f>DAY(EOMONTH(H78,0))</f>
        <v>31</v>
      </c>
      <c r="C78" s="13">
        <v>0.32858722008401198</v>
      </c>
      <c r="D78" s="13"/>
      <c r="E78" s="29">
        <f>G75/12</f>
        <v>5.833333333333333</v>
      </c>
      <c r="F78" s="28">
        <f t="shared" si="15"/>
        <v>0</v>
      </c>
      <c r="G78" s="1">
        <v>73</v>
      </c>
      <c r="H78" s="21">
        <v>48214</v>
      </c>
      <c r="I78" s="16">
        <v>144.25</v>
      </c>
      <c r="J78" s="25">
        <f t="shared" si="25"/>
        <v>16.568729478069159</v>
      </c>
      <c r="K78" s="25">
        <f t="shared" si="26"/>
        <v>28.535314424094373</v>
      </c>
      <c r="L78" s="26">
        <f t="shared" si="27"/>
        <v>388.43698178699924</v>
      </c>
      <c r="M78" s="25">
        <f t="shared" si="28"/>
        <v>668.98137385305063</v>
      </c>
      <c r="N78" s="16">
        <f t="shared" si="21"/>
        <v>524.73137385305063</v>
      </c>
      <c r="O78" s="25">
        <f t="shared" si="22"/>
        <v>-127.68127052193084</v>
      </c>
      <c r="P78" s="25">
        <f t="shared" si="23"/>
        <v>24753677.830143809</v>
      </c>
      <c r="Q78" s="25">
        <f t="shared" si="24"/>
        <v>-6023236.2556015654</v>
      </c>
      <c r="R78" s="26">
        <f t="shared" si="16"/>
        <v>244.18698178699924</v>
      </c>
      <c r="S78" s="16">
        <f t="shared" si="17"/>
        <v>-115.71468557590563</v>
      </c>
      <c r="T78" s="35">
        <v>47174</v>
      </c>
      <c r="U78" s="26">
        <f t="shared" si="18"/>
        <v>11519276.678819902</v>
      </c>
      <c r="V78" s="26">
        <f t="shared" si="19"/>
        <v>-5458724.5773577727</v>
      </c>
      <c r="W78" s="17"/>
      <c r="X78" s="17"/>
    </row>
    <row r="79" spans="1:24" x14ac:dyDescent="0.15">
      <c r="A79">
        <f t="shared" ref="A79:A89" si="29">DAY(EOMONTH(H79,0))</f>
        <v>29</v>
      </c>
      <c r="C79" s="13">
        <v>0.44789491535035098</v>
      </c>
      <c r="D79" s="13"/>
      <c r="E79" s="29">
        <f>G76/12</f>
        <v>5.916666666666667</v>
      </c>
      <c r="F79" s="28">
        <f t="shared" si="15"/>
        <v>0</v>
      </c>
      <c r="G79" s="1">
        <v>74</v>
      </c>
      <c r="H79" s="21">
        <v>48245</v>
      </c>
      <c r="I79" s="16">
        <v>125.25</v>
      </c>
      <c r="J79" s="25">
        <f t="shared" si="25"/>
        <v>5.4650828436110626</v>
      </c>
      <c r="K79" s="25">
        <f t="shared" si="26"/>
        <v>11.526689962496372</v>
      </c>
      <c r="L79" s="26">
        <f t="shared" si="27"/>
        <v>415.30642616239726</v>
      </c>
      <c r="M79" s="25">
        <f t="shared" si="28"/>
        <v>875.94434536389474</v>
      </c>
      <c r="N79" s="16">
        <f t="shared" si="21"/>
        <v>750.69434536389474</v>
      </c>
      <c r="O79" s="25">
        <f t="shared" si="22"/>
        <v>-119.78491715638894</v>
      </c>
      <c r="P79" s="25">
        <f t="shared" si="23"/>
        <v>33727195.548509061</v>
      </c>
      <c r="Q79" s="25">
        <f t="shared" si="24"/>
        <v>-5381696.7580022421</v>
      </c>
      <c r="R79" s="26">
        <f t="shared" si="16"/>
        <v>290.05642616239726</v>
      </c>
      <c r="S79" s="16">
        <f t="shared" si="17"/>
        <v>-113.72331003750362</v>
      </c>
      <c r="T79" s="35">
        <v>44928</v>
      </c>
      <c r="U79" s="26">
        <f t="shared" si="18"/>
        <v>13031655.114624184</v>
      </c>
      <c r="V79" s="26">
        <f t="shared" si="19"/>
        <v>-5109360.8733649626</v>
      </c>
      <c r="W79" s="17"/>
      <c r="X79" s="17"/>
    </row>
    <row r="80" spans="1:24" x14ac:dyDescent="0.15">
      <c r="A80">
        <f t="shared" si="29"/>
        <v>31</v>
      </c>
      <c r="C80" s="13">
        <v>0.26375971098385198</v>
      </c>
      <c r="D80" s="13"/>
      <c r="E80" s="29">
        <f>G77/12</f>
        <v>6</v>
      </c>
      <c r="F80" s="28">
        <f t="shared" si="15"/>
        <v>0</v>
      </c>
      <c r="G80" s="1">
        <v>75</v>
      </c>
      <c r="H80" s="21">
        <v>48274</v>
      </c>
      <c r="I80" s="16">
        <v>65.25</v>
      </c>
      <c r="J80" s="25">
        <f t="shared" si="25"/>
        <v>11.753602206540934</v>
      </c>
      <c r="K80" s="25">
        <f t="shared" si="26"/>
        <v>18.296729140989942</v>
      </c>
      <c r="L80" s="26">
        <f t="shared" si="27"/>
        <v>153.28741263848838</v>
      </c>
      <c r="M80" s="25">
        <f t="shared" si="28"/>
        <v>238.62116655681729</v>
      </c>
      <c r="N80" s="16">
        <f t="shared" si="21"/>
        <v>173.37116655681729</v>
      </c>
      <c r="O80" s="25">
        <f t="shared" si="22"/>
        <v>-53.496397793459067</v>
      </c>
      <c r="P80" s="25">
        <f t="shared" si="23"/>
        <v>8957568.0624910779</v>
      </c>
      <c r="Q80" s="25">
        <f t="shared" si="24"/>
        <v>-2763998.3847946497</v>
      </c>
      <c r="R80" s="26">
        <f t="shared" si="16"/>
        <v>88.037412638488377</v>
      </c>
      <c r="S80" s="16">
        <f t="shared" si="17"/>
        <v>-46.953270859010061</v>
      </c>
      <c r="T80" s="35">
        <v>51667</v>
      </c>
      <c r="U80" s="26">
        <f t="shared" si="18"/>
        <v>4548628.9987927787</v>
      </c>
      <c r="V80" s="26">
        <f t="shared" si="19"/>
        <v>-2425934.645472473</v>
      </c>
      <c r="W80" s="17"/>
      <c r="X80" s="17"/>
    </row>
    <row r="81" spans="1:24" x14ac:dyDescent="0.15">
      <c r="A81">
        <f t="shared" si="29"/>
        <v>30</v>
      </c>
      <c r="C81" s="13">
        <v>0.19153025705802601</v>
      </c>
      <c r="D81" s="13"/>
      <c r="E81" s="29">
        <f>G78/12</f>
        <v>6.083333333333333</v>
      </c>
      <c r="F81" s="28">
        <f t="shared" si="15"/>
        <v>0</v>
      </c>
      <c r="G81" s="1">
        <v>76</v>
      </c>
      <c r="H81" s="21">
        <v>48305</v>
      </c>
      <c r="I81" s="16">
        <v>43</v>
      </c>
      <c r="J81" s="25">
        <f t="shared" si="25"/>
        <v>12.793438066053419</v>
      </c>
      <c r="K81" s="25">
        <f t="shared" si="26"/>
        <v>17.681610220727872</v>
      </c>
      <c r="L81" s="26">
        <f t="shared" si="27"/>
        <v>83.656161236147042</v>
      </c>
      <c r="M81" s="25">
        <f t="shared" si="28"/>
        <v>115.61986917846703</v>
      </c>
      <c r="N81" s="16">
        <f t="shared" si="21"/>
        <v>72.619869178467027</v>
      </c>
      <c r="O81" s="25">
        <f t="shared" si="22"/>
        <v>-30.206561933946581</v>
      </c>
      <c r="P81" s="25">
        <f t="shared" si="23"/>
        <v>2691728.0709690587</v>
      </c>
      <c r="Q81" s="25">
        <f t="shared" si="24"/>
        <v>-1119636.4246436639</v>
      </c>
      <c r="R81" s="26">
        <f t="shared" si="16"/>
        <v>40.656161236147042</v>
      </c>
      <c r="S81" s="16">
        <f t="shared" si="17"/>
        <v>-25.318389779272128</v>
      </c>
      <c r="T81" s="35">
        <v>37066</v>
      </c>
      <c r="U81" s="26">
        <f t="shared" si="18"/>
        <v>1506961.2723790263</v>
      </c>
      <c r="V81" s="26">
        <f t="shared" si="19"/>
        <v>-938451.4355585007</v>
      </c>
      <c r="W81" s="17"/>
      <c r="X81" s="17"/>
    </row>
    <row r="82" spans="1:24" x14ac:dyDescent="0.15">
      <c r="A82">
        <f t="shared" si="29"/>
        <v>31</v>
      </c>
      <c r="C82" s="13">
        <v>0.35847604983947501</v>
      </c>
      <c r="D82" s="13"/>
      <c r="E82" s="29">
        <f>G79/12</f>
        <v>6.166666666666667</v>
      </c>
      <c r="F82" s="28">
        <f t="shared" si="15"/>
        <v>0</v>
      </c>
      <c r="G82" s="1">
        <v>77</v>
      </c>
      <c r="H82" s="21">
        <v>48335</v>
      </c>
      <c r="I82" s="16">
        <v>36.5</v>
      </c>
      <c r="J82" s="25">
        <f t="shared" si="25"/>
        <v>3.086176090651954</v>
      </c>
      <c r="K82" s="25">
        <f t="shared" si="26"/>
        <v>5.6786680869914905</v>
      </c>
      <c r="L82" s="26">
        <f t="shared" si="27"/>
        <v>106.21441401280471</v>
      </c>
      <c r="M82" s="25">
        <f t="shared" si="28"/>
        <v>195.43810382692692</v>
      </c>
      <c r="N82" s="16">
        <f t="shared" si="21"/>
        <v>158.93810382692692</v>
      </c>
      <c r="O82" s="25">
        <f t="shared" si="22"/>
        <v>-33.413823909348046</v>
      </c>
      <c r="P82" s="25">
        <f t="shared" si="23"/>
        <v>5355578.3465521298</v>
      </c>
      <c r="Q82" s="25">
        <f t="shared" si="24"/>
        <v>-1125912.2104493917</v>
      </c>
      <c r="R82" s="26">
        <f t="shared" si="16"/>
        <v>69.71441401280471</v>
      </c>
      <c r="S82" s="16">
        <f t="shared" si="17"/>
        <v>-30.82133191300851</v>
      </c>
      <c r="T82" s="35">
        <v>33696</v>
      </c>
      <c r="U82" s="26">
        <f t="shared" si="18"/>
        <v>2349096.8945754673</v>
      </c>
      <c r="V82" s="26">
        <f t="shared" si="19"/>
        <v>-1038555.6001407348</v>
      </c>
      <c r="W82" s="17"/>
      <c r="X82" s="17"/>
    </row>
    <row r="83" spans="1:24" x14ac:dyDescent="0.15">
      <c r="A83">
        <f t="shared" si="29"/>
        <v>30</v>
      </c>
      <c r="C83" s="13">
        <v>0.20640747309935401</v>
      </c>
      <c r="D83" s="13"/>
      <c r="E83" s="29">
        <f>G80/12</f>
        <v>6.25</v>
      </c>
      <c r="F83" s="28">
        <f t="shared" si="15"/>
        <v>0</v>
      </c>
      <c r="G83" s="1">
        <v>78</v>
      </c>
      <c r="H83" s="21">
        <v>48366</v>
      </c>
      <c r="I83" s="16">
        <v>48.25</v>
      </c>
      <c r="J83" s="25">
        <f t="shared" si="25"/>
        <v>12.691527647930334</v>
      </c>
      <c r="K83" s="25">
        <f t="shared" si="26"/>
        <v>18.072789312297513</v>
      </c>
      <c r="L83" s="26">
        <f t="shared" si="27"/>
        <v>98.702366261568429</v>
      </c>
      <c r="M83" s="25">
        <f t="shared" si="28"/>
        <v>140.55258906215639</v>
      </c>
      <c r="N83" s="16">
        <f t="shared" si="21"/>
        <v>92.302589062156386</v>
      </c>
      <c r="O83" s="25">
        <f t="shared" si="22"/>
        <v>-35.558472352069664</v>
      </c>
      <c r="P83" s="25">
        <f t="shared" si="23"/>
        <v>4561686.2540408308</v>
      </c>
      <c r="Q83" s="25">
        <f t="shared" si="24"/>
        <v>-1757335.2621116349</v>
      </c>
      <c r="R83" s="26">
        <f t="shared" si="16"/>
        <v>50.452366261568429</v>
      </c>
      <c r="S83" s="16">
        <f t="shared" si="17"/>
        <v>-30.177210687702487</v>
      </c>
      <c r="T83" s="35">
        <v>49421</v>
      </c>
      <c r="U83" s="26">
        <f t="shared" si="18"/>
        <v>2493406.3930129735</v>
      </c>
      <c r="V83" s="26">
        <f t="shared" si="19"/>
        <v>-1491387.9293969446</v>
      </c>
      <c r="W83" s="17"/>
      <c r="X83" s="17"/>
    </row>
    <row r="84" spans="1:24" x14ac:dyDescent="0.15">
      <c r="A84">
        <f t="shared" si="29"/>
        <v>31</v>
      </c>
      <c r="C84" s="13">
        <v>0.21075682458359901</v>
      </c>
      <c r="D84" s="13"/>
      <c r="E84" s="29">
        <f>G81/12</f>
        <v>6.333333333333333</v>
      </c>
      <c r="F84" s="28">
        <f t="shared" si="15"/>
        <v>0</v>
      </c>
      <c r="G84" s="1">
        <v>79</v>
      </c>
      <c r="H84" s="21">
        <v>48396</v>
      </c>
      <c r="I84" s="16">
        <v>82.5</v>
      </c>
      <c r="J84" s="25">
        <f t="shared" si="25"/>
        <v>20.828538936369224</v>
      </c>
      <c r="K84" s="25">
        <f t="shared" si="26"/>
        <v>29.953415125081424</v>
      </c>
      <c r="L84" s="26">
        <f t="shared" si="27"/>
        <v>171.50912291844543</v>
      </c>
      <c r="M84" s="25">
        <f t="shared" si="28"/>
        <v>246.64639090668402</v>
      </c>
      <c r="N84" s="16">
        <f t="shared" si="21"/>
        <v>164.14639090668402</v>
      </c>
      <c r="O84" s="25">
        <f t="shared" si="22"/>
        <v>-61.671461063630773</v>
      </c>
      <c r="P84" s="25">
        <f t="shared" si="23"/>
        <v>7743441.8446319122</v>
      </c>
      <c r="Q84" s="25">
        <f t="shared" si="24"/>
        <v>-2909289.5042157182</v>
      </c>
      <c r="R84" s="26">
        <f t="shared" si="16"/>
        <v>89.009122918445428</v>
      </c>
      <c r="S84" s="16">
        <f t="shared" si="17"/>
        <v>-52.54658487491858</v>
      </c>
      <c r="T84" s="35">
        <v>47174</v>
      </c>
      <c r="U84" s="26">
        <f t="shared" si="18"/>
        <v>4198916.3645547442</v>
      </c>
      <c r="V84" s="26">
        <f t="shared" si="19"/>
        <v>-2478832.5948894089</v>
      </c>
      <c r="W84" s="17"/>
      <c r="X84" s="17"/>
    </row>
    <row r="85" spans="1:24" x14ac:dyDescent="0.15">
      <c r="A85">
        <f t="shared" si="29"/>
        <v>31</v>
      </c>
      <c r="C85" s="1">
        <v>0.27626370078495099</v>
      </c>
      <c r="E85" s="29">
        <f>G82/12</f>
        <v>6.416666666666667</v>
      </c>
      <c r="F85" s="28">
        <f t="shared" si="15"/>
        <v>0</v>
      </c>
      <c r="G85" s="1">
        <v>80</v>
      </c>
      <c r="H85" s="21">
        <v>48427</v>
      </c>
      <c r="I85" s="16">
        <v>64.099999999999994</v>
      </c>
      <c r="J85" s="25">
        <f t="shared" si="25"/>
        <v>9.8259589502342539</v>
      </c>
      <c r="K85" s="25">
        <f t="shared" si="26"/>
        <v>15.869449770578862</v>
      </c>
      <c r="L85" s="26">
        <f t="shared" si="27"/>
        <v>158.65981638289261</v>
      </c>
      <c r="M85" s="25">
        <f t="shared" si="28"/>
        <v>256.24409784833813</v>
      </c>
      <c r="N85" s="16">
        <f t="shared" si="21"/>
        <v>192.14409784833813</v>
      </c>
      <c r="O85" s="25">
        <f t="shared" si="22"/>
        <v>-54.274041049765742</v>
      </c>
      <c r="P85" s="25">
        <f t="shared" si="23"/>
        <v>9495953.4597627185</v>
      </c>
      <c r="Q85" s="25">
        <f t="shared" si="24"/>
        <v>-2682277.3827204728</v>
      </c>
      <c r="R85" s="26">
        <f t="shared" si="16"/>
        <v>94.55981638289262</v>
      </c>
      <c r="S85" s="16">
        <f t="shared" si="17"/>
        <v>-48.230550229421134</v>
      </c>
      <c r="T85" s="35">
        <v>49421</v>
      </c>
      <c r="U85" s="26">
        <f t="shared" si="18"/>
        <v>4673240.6854589358</v>
      </c>
      <c r="V85" s="26">
        <f t="shared" si="19"/>
        <v>-2383602.0228882218</v>
      </c>
    </row>
    <row r="86" spans="1:24" x14ac:dyDescent="0.15">
      <c r="A86">
        <f t="shared" si="29"/>
        <v>30</v>
      </c>
      <c r="C86" s="1">
        <v>0.21004932506034199</v>
      </c>
      <c r="E86" s="29">
        <f>G83/12</f>
        <v>6.5</v>
      </c>
      <c r="F86" s="28">
        <f t="shared" si="15"/>
        <v>0</v>
      </c>
      <c r="G86" s="1">
        <v>81</v>
      </c>
      <c r="H86" s="21">
        <v>48458</v>
      </c>
      <c r="I86" s="16">
        <v>39</v>
      </c>
      <c r="J86" s="25">
        <f t="shared" si="25"/>
        <v>9.7026706951593944</v>
      </c>
      <c r="K86" s="25">
        <f t="shared" si="26"/>
        <v>14.002477769779139</v>
      </c>
      <c r="L86" s="26">
        <f t="shared" si="27"/>
        <v>81.540866296001539</v>
      </c>
      <c r="M86" s="25">
        <f t="shared" si="28"/>
        <v>117.67627733752924</v>
      </c>
      <c r="N86" s="16">
        <f t="shared" si="21"/>
        <v>78.676277337529243</v>
      </c>
      <c r="O86" s="25">
        <f t="shared" si="22"/>
        <v>-29.297329304840606</v>
      </c>
      <c r="P86" s="25">
        <f t="shared" si="23"/>
        <v>2783645.3684791219</v>
      </c>
      <c r="Q86" s="25">
        <f t="shared" si="24"/>
        <v>-1036568.8081345655</v>
      </c>
      <c r="R86" s="26">
        <f t="shared" si="16"/>
        <v>42.540866296001539</v>
      </c>
      <c r="S86" s="16">
        <f t="shared" si="17"/>
        <v>-24.997522230220859</v>
      </c>
      <c r="T86" s="35">
        <v>35381</v>
      </c>
      <c r="U86" s="26">
        <f t="shared" si="18"/>
        <v>1505138.3904188306</v>
      </c>
      <c r="V86" s="26">
        <f t="shared" si="19"/>
        <v>-884437.33402744425</v>
      </c>
    </row>
    <row r="87" spans="1:24" x14ac:dyDescent="0.15">
      <c r="A87">
        <f t="shared" si="29"/>
        <v>31</v>
      </c>
      <c r="C87" s="1">
        <v>0.32327447549514399</v>
      </c>
      <c r="E87" s="29">
        <f>G84/12</f>
        <v>6.583333333333333</v>
      </c>
      <c r="F87" s="28">
        <f t="shared" si="15"/>
        <v>0</v>
      </c>
      <c r="G87" s="1">
        <v>82</v>
      </c>
      <c r="H87" s="21">
        <v>48488</v>
      </c>
      <c r="I87" s="16">
        <v>39</v>
      </c>
      <c r="J87" s="25">
        <f t="shared" si="25"/>
        <v>4.002521719668934</v>
      </c>
      <c r="K87" s="25">
        <f t="shared" si="26"/>
        <v>7.0646483509224067</v>
      </c>
      <c r="L87" s="26">
        <f t="shared" si="27"/>
        <v>108.20414484426394</v>
      </c>
      <c r="M87" s="25">
        <f t="shared" si="28"/>
        <v>190.9856552883933</v>
      </c>
      <c r="N87" s="16">
        <f t="shared" si="21"/>
        <v>151.9856552883933</v>
      </c>
      <c r="O87" s="25">
        <f t="shared" si="22"/>
        <v>-34.997478280331066</v>
      </c>
      <c r="P87" s="25">
        <f t="shared" si="23"/>
        <v>5377404.4697586438</v>
      </c>
      <c r="Q87" s="25">
        <f t="shared" si="24"/>
        <v>-1238245.7790363934</v>
      </c>
      <c r="R87" s="26">
        <f t="shared" si="16"/>
        <v>69.204144844263936</v>
      </c>
      <c r="S87" s="16">
        <f t="shared" si="17"/>
        <v>-31.935351649077592</v>
      </c>
      <c r="T87" s="35">
        <v>35381</v>
      </c>
      <c r="U87" s="26">
        <f t="shared" si="18"/>
        <v>2448511.8487349022</v>
      </c>
      <c r="V87" s="26">
        <f t="shared" si="19"/>
        <v>-1129904.6766960144</v>
      </c>
    </row>
    <row r="88" spans="1:24" x14ac:dyDescent="0.15">
      <c r="A88">
        <f t="shared" si="29"/>
        <v>30</v>
      </c>
      <c r="C88" s="1">
        <v>0.33029793826201398</v>
      </c>
      <c r="E88" s="29">
        <f>G85/12</f>
        <v>6.666666666666667</v>
      </c>
      <c r="F88" s="28">
        <f t="shared" si="15"/>
        <v>0</v>
      </c>
      <c r="G88" s="1">
        <v>83</v>
      </c>
      <c r="H88" s="21">
        <v>48519</v>
      </c>
      <c r="I88" s="16">
        <v>54.25</v>
      </c>
      <c r="J88" s="25">
        <f t="shared" si="25"/>
        <v>5.1699528178333978</v>
      </c>
      <c r="K88" s="25">
        <f t="shared" si="26"/>
        <v>9.2724636001876348</v>
      </c>
      <c r="L88" s="26">
        <f t="shared" si="27"/>
        <v>153.36878182319575</v>
      </c>
      <c r="M88" s="25">
        <f t="shared" si="28"/>
        <v>275.07145557600512</v>
      </c>
      <c r="N88" s="16">
        <f t="shared" si="21"/>
        <v>220.82145557600512</v>
      </c>
      <c r="O88" s="25">
        <f t="shared" si="22"/>
        <v>-49.080047182166602</v>
      </c>
      <c r="P88" s="25">
        <f t="shared" si="23"/>
        <v>10417031.345342465</v>
      </c>
      <c r="Q88" s="25">
        <f t="shared" si="24"/>
        <v>-2315302.1457715272</v>
      </c>
      <c r="R88" s="26">
        <f t="shared" si="16"/>
        <v>99.118781823195746</v>
      </c>
      <c r="S88" s="16">
        <f t="shared" si="17"/>
        <v>-44.977536399812365</v>
      </c>
      <c r="T88" s="35">
        <v>47174</v>
      </c>
      <c r="U88" s="26">
        <f t="shared" si="18"/>
        <v>4675829.4137274362</v>
      </c>
      <c r="V88" s="26">
        <f t="shared" si="19"/>
        <v>-2121770.3021247485</v>
      </c>
    </row>
    <row r="89" spans="1:24" x14ac:dyDescent="0.15">
      <c r="A89">
        <f t="shared" si="29"/>
        <v>31</v>
      </c>
      <c r="C89" s="1">
        <v>0.225297601015571</v>
      </c>
      <c r="E89" s="29">
        <f>G86/12</f>
        <v>6.75</v>
      </c>
      <c r="F89" s="28">
        <f t="shared" si="15"/>
        <v>0</v>
      </c>
      <c r="G89" s="1">
        <v>84</v>
      </c>
      <c r="H89" s="21">
        <v>48549</v>
      </c>
      <c r="I89" s="16">
        <v>89.75</v>
      </c>
      <c r="J89" s="25">
        <f t="shared" si="25"/>
        <v>19.334158173894849</v>
      </c>
      <c r="K89" s="25">
        <f t="shared" si="26"/>
        <v>28.870823464018777</v>
      </c>
      <c r="L89" s="26">
        <f t="shared" si="27"/>
        <v>198.06618200348635</v>
      </c>
      <c r="M89" s="25">
        <f t="shared" si="28"/>
        <v>295.76326641083415</v>
      </c>
      <c r="N89" s="16">
        <f t="shared" si="21"/>
        <v>206.01326641083415</v>
      </c>
      <c r="O89" s="25">
        <f t="shared" si="22"/>
        <v>-70.415841826105151</v>
      </c>
      <c r="P89" s="25">
        <f t="shared" si="23"/>
        <v>10644087.435648568</v>
      </c>
      <c r="Q89" s="25">
        <f t="shared" si="24"/>
        <v>-3638175.2996293749</v>
      </c>
      <c r="R89" s="26">
        <f t="shared" si="16"/>
        <v>108.31618200348635</v>
      </c>
      <c r="S89" s="16">
        <f t="shared" si="17"/>
        <v>-60.879176535981223</v>
      </c>
      <c r="T89" s="35">
        <v>51667</v>
      </c>
      <c r="U89" s="26">
        <f t="shared" si="18"/>
        <v>5596372.1755741294</v>
      </c>
      <c r="V89" s="26">
        <f t="shared" si="19"/>
        <v>-3145444.4140845421</v>
      </c>
    </row>
    <row r="90" spans="1:24" x14ac:dyDescent="0.15">
      <c r="E90" s="29"/>
      <c r="J90" s="1"/>
      <c r="K90" s="1"/>
      <c r="L90" s="1"/>
      <c r="M90" s="1"/>
      <c r="N90" s="1"/>
    </row>
    <row r="91" spans="1:24" x14ac:dyDescent="0.15">
      <c r="E91" s="29"/>
      <c r="J91" s="1"/>
      <c r="K91" s="1"/>
      <c r="L91" s="1"/>
      <c r="M91" s="1"/>
      <c r="N91" s="1"/>
    </row>
    <row r="92" spans="1:24" x14ac:dyDescent="0.15">
      <c r="E92" s="29"/>
      <c r="J92" s="1"/>
      <c r="K92" s="1"/>
      <c r="L92" s="1"/>
      <c r="M92" s="1"/>
      <c r="N92" s="1"/>
    </row>
    <row r="93" spans="1:24" x14ac:dyDescent="0.15">
      <c r="J93" s="1"/>
      <c r="K93" s="1"/>
      <c r="L93" s="1"/>
      <c r="M93" s="1"/>
      <c r="N93" s="1"/>
    </row>
    <row r="94" spans="1:24" x14ac:dyDescent="0.15">
      <c r="J94" s="1"/>
      <c r="K94" s="1"/>
      <c r="L94" s="1"/>
      <c r="M94" s="1"/>
      <c r="N94" s="1"/>
    </row>
    <row r="95" spans="1:24" x14ac:dyDescent="0.15">
      <c r="J95" s="1"/>
      <c r="K95" s="1"/>
      <c r="L95" s="1"/>
      <c r="M95" s="1"/>
      <c r="N95" s="1"/>
    </row>
    <row r="96" spans="1:24" x14ac:dyDescent="0.15">
      <c r="J96" s="1"/>
      <c r="K96" s="1"/>
      <c r="L96" s="1"/>
      <c r="M96" s="1"/>
      <c r="N96" s="1"/>
    </row>
    <row r="97" s="1" customFormat="1" x14ac:dyDescent="0.15"/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DD72-50CA-4285-AE3E-606216F5A637}">
  <dimension ref="A1:X97"/>
  <sheetViews>
    <sheetView tabSelected="1" topLeftCell="Q66" zoomScaleNormal="100" workbookViewId="0">
      <selection sqref="A1:V89"/>
    </sheetView>
  </sheetViews>
  <sheetFormatPr defaultRowHeight="10.5" x14ac:dyDescent="0.15"/>
  <cols>
    <col min="1" max="1" width="12.33203125" style="1" bestFit="1" customWidth="1"/>
    <col min="2" max="2" width="7.1640625" style="1" bestFit="1" customWidth="1"/>
    <col min="3" max="3" width="7.1640625" style="1" customWidth="1"/>
    <col min="4" max="4" width="9.1640625" style="1" bestFit="1" customWidth="1"/>
    <col min="5" max="5" width="5.83203125" style="1" bestFit="1" customWidth="1"/>
    <col min="6" max="6" width="12.1640625" style="1" bestFit="1" customWidth="1"/>
    <col min="7" max="7" width="9.83203125" style="1" bestFit="1" customWidth="1"/>
    <col min="8" max="8" width="10.5" style="1" bestFit="1" customWidth="1"/>
    <col min="9" max="9" width="14.5" style="1" customWidth="1"/>
    <col min="10" max="10" width="11.33203125" style="4" bestFit="1" customWidth="1"/>
    <col min="11" max="11" width="11.33203125" style="4" customWidth="1"/>
    <col min="12" max="12" width="11.6640625" style="4" customWidth="1"/>
    <col min="13" max="13" width="13.5" style="4" bestFit="1" customWidth="1"/>
    <col min="14" max="14" width="16.5" style="4" bestFit="1" customWidth="1"/>
    <col min="15" max="15" width="19.33203125" style="1" bestFit="1" customWidth="1"/>
    <col min="16" max="16" width="19.83203125" style="1" bestFit="1" customWidth="1"/>
    <col min="17" max="17" width="23.1640625" style="1" bestFit="1" customWidth="1"/>
    <col min="18" max="18" width="22" style="1" bestFit="1" customWidth="1"/>
    <col min="19" max="20" width="22" style="1" customWidth="1"/>
    <col min="21" max="21" width="20.33203125" style="1" bestFit="1" customWidth="1"/>
    <col min="22" max="22" width="23.1640625" style="1" bestFit="1" customWidth="1"/>
    <col min="23" max="23" width="20.33203125" style="1" customWidth="1"/>
    <col min="24" max="24" width="13.6640625" style="1" bestFit="1" customWidth="1"/>
    <col min="25" max="25" width="9.33203125" style="1"/>
    <col min="26" max="26" width="15.6640625" style="1" bestFit="1" customWidth="1"/>
    <col min="27" max="37" width="9.33203125" style="1"/>
    <col min="38" max="38" width="9.5" style="1" bestFit="1" customWidth="1"/>
    <col min="39" max="39" width="14.5" style="1" bestFit="1" customWidth="1"/>
    <col min="40" max="41" width="11.33203125" style="1" bestFit="1" customWidth="1"/>
    <col min="42" max="43" width="11.6640625" style="1" bestFit="1" customWidth="1"/>
    <col min="44" max="16384" width="9.33203125" style="1"/>
  </cols>
  <sheetData>
    <row r="1" spans="1:24" x14ac:dyDescent="0.15">
      <c r="C1" s="2"/>
      <c r="D1" s="22" t="s">
        <v>0</v>
      </c>
      <c r="E1" s="22"/>
      <c r="F1" s="23" t="s">
        <v>16</v>
      </c>
      <c r="G1" s="23" t="s">
        <v>15</v>
      </c>
      <c r="O1" s="5"/>
      <c r="P1" s="5"/>
      <c r="Q1" s="5"/>
      <c r="U1" s="1" t="s">
        <v>18</v>
      </c>
      <c r="V1" s="1" t="s">
        <v>19</v>
      </c>
    </row>
    <row r="2" spans="1:24" x14ac:dyDescent="0.15">
      <c r="C2" s="6"/>
      <c r="D2" s="22">
        <v>0</v>
      </c>
      <c r="E2" s="22"/>
      <c r="F2" s="22">
        <v>2.33</v>
      </c>
      <c r="G2" s="24">
        <v>1.645</v>
      </c>
      <c r="O2" s="7"/>
      <c r="U2" s="8">
        <f>SUM(U6:U89)</f>
        <v>147725333.39462379</v>
      </c>
      <c r="V2" s="8">
        <f>SUM(V6:V41)</f>
        <v>-21210033.352670815</v>
      </c>
    </row>
    <row r="3" spans="1:24" x14ac:dyDescent="0.15">
      <c r="G3" s="2"/>
      <c r="J3" s="3"/>
    </row>
    <row r="5" spans="1:24" x14ac:dyDescent="0.15">
      <c r="A5" s="1" t="s">
        <v>21</v>
      </c>
      <c r="B5" s="9"/>
      <c r="C5" s="9" t="s">
        <v>1</v>
      </c>
      <c r="D5" s="9"/>
      <c r="E5" s="9" t="s">
        <v>4</v>
      </c>
      <c r="F5" s="9" t="s">
        <v>0</v>
      </c>
      <c r="G5" s="9"/>
      <c r="H5" s="10" t="s">
        <v>2</v>
      </c>
      <c r="I5" s="10" t="s">
        <v>3</v>
      </c>
      <c r="J5" s="11" t="s">
        <v>5</v>
      </c>
      <c r="K5" s="11" t="s">
        <v>6</v>
      </c>
      <c r="L5" s="20" t="s">
        <v>7</v>
      </c>
      <c r="M5" s="10" t="s">
        <v>8</v>
      </c>
      <c r="N5" s="11" t="s">
        <v>9</v>
      </c>
      <c r="O5" s="11" t="s">
        <v>20</v>
      </c>
      <c r="P5" s="11" t="s">
        <v>10</v>
      </c>
      <c r="Q5" s="11" t="s">
        <v>22</v>
      </c>
      <c r="R5" s="20" t="s">
        <v>11</v>
      </c>
      <c r="S5" s="11" t="s">
        <v>12</v>
      </c>
      <c r="T5" s="11" t="s">
        <v>14</v>
      </c>
      <c r="U5" s="20" t="s">
        <v>13</v>
      </c>
      <c r="V5" s="20" t="s">
        <v>17</v>
      </c>
      <c r="W5" s="12"/>
      <c r="X5" s="12"/>
    </row>
    <row r="6" spans="1:24" x14ac:dyDescent="0.15">
      <c r="A6">
        <f>DAY(EOMONTH(H6,0))</f>
        <v>31</v>
      </c>
      <c r="C6" s="6"/>
      <c r="D6" s="13"/>
      <c r="F6" s="28">
        <f t="shared" ref="F6:F69" si="0">$D$2</f>
        <v>0</v>
      </c>
      <c r="G6" s="1">
        <v>1</v>
      </c>
      <c r="H6" s="21">
        <v>46023</v>
      </c>
      <c r="I6" s="16"/>
      <c r="J6" s="25">
        <f>$I6*EXP(($F6-0.5*$C6^2)*$E6-$C6*SQRT($E9)*$F$2)</f>
        <v>0</v>
      </c>
      <c r="K6" s="25">
        <f>$I6*EXP(($F6-0.5*$C6^2)*$E9-$C6*SQRT($E9)*$G$2)</f>
        <v>0</v>
      </c>
      <c r="L6" s="26">
        <f>$I6*EXP(($F6-0.5*$C6^2)*$E9+$C6*SQRT($E9)*$G$2)</f>
        <v>0</v>
      </c>
      <c r="M6" s="25">
        <f>$I6*EXP(($F6-0.5*$C6^2)*$E9+$C6*SQRT($E9)*$F$2)</f>
        <v>0</v>
      </c>
      <c r="N6" s="25">
        <f>M6-I6</f>
        <v>0</v>
      </c>
      <c r="O6" s="25">
        <f>J6-I6</f>
        <v>0</v>
      </c>
      <c r="P6" s="25">
        <f>N6*T6</f>
        <v>0</v>
      </c>
      <c r="Q6" s="25">
        <f>O6*T6</f>
        <v>0</v>
      </c>
      <c r="R6" s="26">
        <f t="shared" ref="R6:R69" si="1">L6-I6</f>
        <v>0</v>
      </c>
      <c r="S6" s="25">
        <f t="shared" ref="S6:S69" si="2">K6-I6</f>
        <v>0</v>
      </c>
      <c r="T6" s="16"/>
      <c r="U6" s="26">
        <f t="shared" ref="U6:U69" si="3">R6*T6</f>
        <v>0</v>
      </c>
      <c r="V6" s="26">
        <f t="shared" ref="V6:V69" si="4">S6*T6</f>
        <v>0</v>
      </c>
      <c r="W6" s="17"/>
      <c r="X6" s="18"/>
    </row>
    <row r="7" spans="1:24" x14ac:dyDescent="0.15">
      <c r="A7">
        <f t="shared" ref="A7:A70" si="5">DAY(EOMONTH(H7,0))</f>
        <v>28</v>
      </c>
      <c r="B7" s="19"/>
      <c r="C7" s="6"/>
      <c r="D7" s="13"/>
      <c r="F7" s="28">
        <f t="shared" si="0"/>
        <v>0</v>
      </c>
      <c r="G7" s="1">
        <v>2</v>
      </c>
      <c r="H7" s="21">
        <v>46054</v>
      </c>
      <c r="I7" s="16"/>
      <c r="J7" s="25">
        <f t="shared" ref="J7:J8" si="6">$I7*EXP(($F7-0.5*$C7^2)*$E7-$C7*SQRT($E10)*$F$2)</f>
        <v>0</v>
      </c>
      <c r="K7" s="25">
        <f>$I7*EXP(($F7-0.5*$C7^2)*$E10-$C7*SQRT($E10)*$G$2)</f>
        <v>0</v>
      </c>
      <c r="L7" s="26">
        <f>$I7*EXP(($F7-0.5*$C7^2)*$E10+$C7*SQRT($E10)*$G$2)</f>
        <v>0</v>
      </c>
      <c r="M7" s="25">
        <f>$I7*EXP(($F7-0.5*$C7^2)*$E10+$C7*SQRT($E10)*$F$2)</f>
        <v>0</v>
      </c>
      <c r="N7" s="25">
        <f t="shared" ref="N7:N70" si="7">M7-I7</f>
        <v>0</v>
      </c>
      <c r="O7" s="25">
        <f t="shared" ref="O7:O70" si="8">J7-I7</f>
        <v>0</v>
      </c>
      <c r="P7" s="25">
        <f t="shared" ref="P7:P70" si="9">N7*T7</f>
        <v>0</v>
      </c>
      <c r="Q7" s="25">
        <f t="shared" ref="Q7:Q70" si="10">O7*T7</f>
        <v>0</v>
      </c>
      <c r="R7" s="26">
        <f t="shared" si="1"/>
        <v>0</v>
      </c>
      <c r="S7" s="25">
        <f t="shared" si="2"/>
        <v>0</v>
      </c>
      <c r="T7" s="16"/>
      <c r="U7" s="26">
        <f t="shared" si="3"/>
        <v>0</v>
      </c>
      <c r="V7" s="26">
        <f t="shared" si="4"/>
        <v>0</v>
      </c>
      <c r="W7" s="17"/>
      <c r="X7" s="18"/>
    </row>
    <row r="8" spans="1:24" x14ac:dyDescent="0.15">
      <c r="A8">
        <f t="shared" si="5"/>
        <v>31</v>
      </c>
      <c r="B8" s="19"/>
      <c r="C8" s="6"/>
      <c r="D8" s="13"/>
      <c r="F8" s="28">
        <f t="shared" si="0"/>
        <v>0</v>
      </c>
      <c r="G8" s="1">
        <v>3</v>
      </c>
      <c r="H8" s="21">
        <v>46082</v>
      </c>
      <c r="I8" s="16"/>
      <c r="J8" s="25">
        <f t="shared" si="6"/>
        <v>0</v>
      </c>
      <c r="K8" s="25">
        <f>$I8*EXP(($F8-0.5*$C8^2)*$E11-$C8*SQRT($E11)*$G$2)</f>
        <v>0</v>
      </c>
      <c r="L8" s="26">
        <f>$I8*EXP(($F8-0.5*$C8^2)*$E11+$C8*SQRT($E11)*$G$2)</f>
        <v>0</v>
      </c>
      <c r="M8" s="25">
        <f>$I8*EXP(($F8-0.5*$C8^2)*$E11+$C8*SQRT($E11)*$F$2)</f>
        <v>0</v>
      </c>
      <c r="N8" s="25">
        <f t="shared" si="7"/>
        <v>0</v>
      </c>
      <c r="O8" s="25">
        <f t="shared" si="8"/>
        <v>0</v>
      </c>
      <c r="P8" s="25">
        <f t="shared" si="9"/>
        <v>0</v>
      </c>
      <c r="Q8" s="25">
        <f t="shared" si="10"/>
        <v>0</v>
      </c>
      <c r="R8" s="26">
        <f t="shared" si="1"/>
        <v>0</v>
      </c>
      <c r="S8" s="25">
        <f t="shared" si="2"/>
        <v>0</v>
      </c>
      <c r="T8" s="16"/>
      <c r="U8" s="26">
        <f t="shared" si="3"/>
        <v>0</v>
      </c>
      <c r="V8" s="26">
        <f t="shared" si="4"/>
        <v>0</v>
      </c>
      <c r="W8" s="17"/>
      <c r="X8" s="18"/>
    </row>
    <row r="9" spans="1:24" x14ac:dyDescent="0.15">
      <c r="A9">
        <f t="shared" si="5"/>
        <v>30</v>
      </c>
      <c r="B9" s="19"/>
      <c r="C9" s="6">
        <v>0.46886216139226999</v>
      </c>
      <c r="D9" s="13"/>
      <c r="E9" s="29"/>
      <c r="F9" s="28">
        <f t="shared" si="0"/>
        <v>0</v>
      </c>
      <c r="G9" s="1">
        <v>4</v>
      </c>
      <c r="H9" s="21">
        <v>46113</v>
      </c>
      <c r="I9" s="16">
        <v>52.75</v>
      </c>
      <c r="J9" s="25">
        <f>$I9*EXP(($F9-0.5*$C9^2)*$E9-$C9*SQRT($E9)*$F$2)</f>
        <v>52.75</v>
      </c>
      <c r="K9" s="25">
        <f>$I9*EXP(($F9-0.5*$C9^2)*$E9-$C9*SQRT($E9)*$G$2)</f>
        <v>52.75</v>
      </c>
      <c r="L9" s="26">
        <f>$I9*EXP(($F9-0.5*$C9^2)*$E9+$C9*SQRT($E9)*$G$2)</f>
        <v>52.75</v>
      </c>
      <c r="M9" s="25">
        <f>$I9*EXP(($F9-0.5*$C9^2)*$E9+$C9*SQRT($E9)*$F$2)</f>
        <v>52.75</v>
      </c>
      <c r="N9" s="25">
        <f t="shared" si="7"/>
        <v>0</v>
      </c>
      <c r="O9" s="25">
        <f t="shared" si="8"/>
        <v>0</v>
      </c>
      <c r="P9" s="25">
        <f t="shared" si="9"/>
        <v>0</v>
      </c>
      <c r="Q9" s="25">
        <f t="shared" si="10"/>
        <v>0</v>
      </c>
      <c r="R9" s="26">
        <f t="shared" si="1"/>
        <v>0</v>
      </c>
      <c r="S9" s="25">
        <f t="shared" si="2"/>
        <v>0</v>
      </c>
      <c r="T9" s="35">
        <v>37066</v>
      </c>
      <c r="U9" s="26">
        <f t="shared" si="3"/>
        <v>0</v>
      </c>
      <c r="V9" s="26">
        <f t="shared" si="4"/>
        <v>0</v>
      </c>
      <c r="W9" s="17"/>
      <c r="X9" s="18"/>
    </row>
    <row r="10" spans="1:24" x14ac:dyDescent="0.15">
      <c r="A10">
        <f t="shared" si="5"/>
        <v>31</v>
      </c>
      <c r="B10" s="19"/>
      <c r="C10" s="6">
        <v>0.41316346682126198</v>
      </c>
      <c r="D10" s="13"/>
      <c r="E10" s="29"/>
      <c r="F10" s="28">
        <f t="shared" si="0"/>
        <v>0</v>
      </c>
      <c r="G10" s="1">
        <v>5</v>
      </c>
      <c r="H10" s="21">
        <v>46143</v>
      </c>
      <c r="I10" s="16">
        <v>48</v>
      </c>
      <c r="J10" s="25">
        <f t="shared" ref="J10:J73" si="11">$I10*EXP(($F10-0.5*$C10^2)*$E10-$C10*SQRT($E10)*$F$2)</f>
        <v>48</v>
      </c>
      <c r="K10" s="25">
        <f t="shared" ref="K10:K73" si="12">$I10*EXP(($F10-0.5*$C10^2)*$E10-$C10*SQRT($E10)*$G$2)</f>
        <v>48</v>
      </c>
      <c r="L10" s="26">
        <f t="shared" ref="L10:L73" si="13">$I10*EXP(($F10-0.5*$C10^2)*$E10+$C10*SQRT($E10)*$G$2)</f>
        <v>48</v>
      </c>
      <c r="M10" s="25">
        <f t="shared" ref="M10:M73" si="14">$I10*EXP(($F10-0.5*$C10^2)*$E10+$C10*SQRT($E10)*$F$2)</f>
        <v>48</v>
      </c>
      <c r="N10" s="25">
        <f t="shared" si="7"/>
        <v>0</v>
      </c>
      <c r="O10" s="25">
        <f t="shared" si="8"/>
        <v>0</v>
      </c>
      <c r="P10" s="25">
        <f t="shared" si="9"/>
        <v>0</v>
      </c>
      <c r="Q10" s="25">
        <f t="shared" si="10"/>
        <v>0</v>
      </c>
      <c r="R10" s="26">
        <f t="shared" si="1"/>
        <v>0</v>
      </c>
      <c r="S10" s="25">
        <f t="shared" si="2"/>
        <v>0</v>
      </c>
      <c r="T10" s="35">
        <v>33696</v>
      </c>
      <c r="U10" s="26">
        <f t="shared" si="3"/>
        <v>0</v>
      </c>
      <c r="V10" s="26">
        <f t="shared" si="4"/>
        <v>0</v>
      </c>
      <c r="W10" s="17"/>
      <c r="X10" s="18"/>
    </row>
    <row r="11" spans="1:24" x14ac:dyDescent="0.15">
      <c r="A11">
        <f t="shared" si="5"/>
        <v>30</v>
      </c>
      <c r="B11" s="19"/>
      <c r="C11" s="6">
        <v>0.33466600718025602</v>
      </c>
      <c r="D11" s="13"/>
      <c r="E11" s="29"/>
      <c r="F11" s="28">
        <f t="shared" si="0"/>
        <v>0</v>
      </c>
      <c r="G11" s="1">
        <v>6</v>
      </c>
      <c r="H11" s="21">
        <v>46174</v>
      </c>
      <c r="I11" s="16">
        <v>63</v>
      </c>
      <c r="J11" s="25">
        <f t="shared" si="11"/>
        <v>63</v>
      </c>
      <c r="K11" s="25">
        <f t="shared" si="12"/>
        <v>63</v>
      </c>
      <c r="L11" s="26">
        <f t="shared" si="13"/>
        <v>63</v>
      </c>
      <c r="M11" s="25">
        <f t="shared" si="14"/>
        <v>63</v>
      </c>
      <c r="N11" s="25">
        <f t="shared" si="7"/>
        <v>0</v>
      </c>
      <c r="O11" s="25">
        <f t="shared" si="8"/>
        <v>0</v>
      </c>
      <c r="P11" s="25">
        <f t="shared" si="9"/>
        <v>0</v>
      </c>
      <c r="Q11" s="25">
        <f t="shared" si="10"/>
        <v>0</v>
      </c>
      <c r="R11" s="26">
        <f t="shared" si="1"/>
        <v>0</v>
      </c>
      <c r="S11" s="25">
        <f t="shared" si="2"/>
        <v>0</v>
      </c>
      <c r="T11" s="35">
        <v>49421</v>
      </c>
      <c r="U11" s="26">
        <f t="shared" si="3"/>
        <v>0</v>
      </c>
      <c r="V11" s="26">
        <f t="shared" si="4"/>
        <v>0</v>
      </c>
      <c r="W11" s="17"/>
      <c r="X11" s="18"/>
    </row>
    <row r="12" spans="1:24" x14ac:dyDescent="0.15">
      <c r="A12">
        <f t="shared" si="5"/>
        <v>31</v>
      </c>
      <c r="B12" s="19"/>
      <c r="C12" s="6">
        <v>0.248254099870897</v>
      </c>
      <c r="D12" s="13"/>
      <c r="E12" s="29"/>
      <c r="F12" s="28">
        <f t="shared" si="0"/>
        <v>0</v>
      </c>
      <c r="G12" s="1">
        <v>7</v>
      </c>
      <c r="H12" s="21">
        <v>46204</v>
      </c>
      <c r="I12" s="16">
        <v>94</v>
      </c>
      <c r="J12" s="25">
        <f t="shared" si="11"/>
        <v>94</v>
      </c>
      <c r="K12" s="25">
        <f t="shared" si="12"/>
        <v>94</v>
      </c>
      <c r="L12" s="26">
        <f t="shared" si="13"/>
        <v>94</v>
      </c>
      <c r="M12" s="25">
        <f t="shared" si="14"/>
        <v>94</v>
      </c>
      <c r="N12" s="25">
        <f t="shared" si="7"/>
        <v>0</v>
      </c>
      <c r="O12" s="25">
        <f t="shared" si="8"/>
        <v>0</v>
      </c>
      <c r="P12" s="25">
        <f t="shared" si="9"/>
        <v>0</v>
      </c>
      <c r="Q12" s="25">
        <f t="shared" si="10"/>
        <v>0</v>
      </c>
      <c r="R12" s="26">
        <f t="shared" si="1"/>
        <v>0</v>
      </c>
      <c r="S12" s="25">
        <f t="shared" si="2"/>
        <v>0</v>
      </c>
      <c r="T12" s="35">
        <v>51667</v>
      </c>
      <c r="U12" s="26">
        <f t="shared" si="3"/>
        <v>0</v>
      </c>
      <c r="V12" s="26">
        <f t="shared" si="4"/>
        <v>0</v>
      </c>
      <c r="W12" s="17"/>
      <c r="X12" s="18"/>
    </row>
    <row r="13" spans="1:24" x14ac:dyDescent="0.15">
      <c r="A13">
        <f t="shared" si="5"/>
        <v>31</v>
      </c>
      <c r="B13" s="19"/>
      <c r="C13" s="6">
        <v>0.31009021745260401</v>
      </c>
      <c r="D13" s="13"/>
      <c r="E13" s="29"/>
      <c r="F13" s="28">
        <f t="shared" si="0"/>
        <v>0</v>
      </c>
      <c r="G13" s="1">
        <v>8</v>
      </c>
      <c r="H13" s="21">
        <v>46235</v>
      </c>
      <c r="I13" s="16">
        <v>75</v>
      </c>
      <c r="J13" s="25">
        <f t="shared" si="11"/>
        <v>75</v>
      </c>
      <c r="K13" s="25">
        <f t="shared" si="12"/>
        <v>75</v>
      </c>
      <c r="L13" s="26">
        <f t="shared" si="13"/>
        <v>75</v>
      </c>
      <c r="M13" s="25">
        <f t="shared" si="14"/>
        <v>75</v>
      </c>
      <c r="N13" s="25">
        <f t="shared" si="7"/>
        <v>0</v>
      </c>
      <c r="O13" s="25">
        <f t="shared" si="8"/>
        <v>0</v>
      </c>
      <c r="P13" s="25">
        <f t="shared" si="9"/>
        <v>0</v>
      </c>
      <c r="Q13" s="25">
        <f t="shared" si="10"/>
        <v>0</v>
      </c>
      <c r="R13" s="26">
        <f t="shared" si="1"/>
        <v>0</v>
      </c>
      <c r="S13" s="25">
        <f t="shared" si="2"/>
        <v>0</v>
      </c>
      <c r="T13" s="35">
        <v>47174</v>
      </c>
      <c r="U13" s="26">
        <f t="shared" si="3"/>
        <v>0</v>
      </c>
      <c r="V13" s="26">
        <f t="shared" si="4"/>
        <v>0</v>
      </c>
      <c r="W13" s="17"/>
      <c r="X13" s="18"/>
    </row>
    <row r="14" spans="1:24" x14ac:dyDescent="0.15">
      <c r="A14">
        <f t="shared" si="5"/>
        <v>30</v>
      </c>
      <c r="B14" s="19"/>
      <c r="C14" s="6">
        <v>0.32440751769279402</v>
      </c>
      <c r="D14" s="13"/>
      <c r="E14" s="29"/>
      <c r="F14" s="28">
        <f t="shared" si="0"/>
        <v>0</v>
      </c>
      <c r="G14" s="1">
        <v>9</v>
      </c>
      <c r="H14" s="21">
        <v>46266</v>
      </c>
      <c r="I14" s="16">
        <v>52</v>
      </c>
      <c r="J14" s="25">
        <f t="shared" si="11"/>
        <v>52</v>
      </c>
      <c r="K14" s="25">
        <f t="shared" si="12"/>
        <v>52</v>
      </c>
      <c r="L14" s="26">
        <f t="shared" si="13"/>
        <v>52</v>
      </c>
      <c r="M14" s="25">
        <f t="shared" si="14"/>
        <v>52</v>
      </c>
      <c r="N14" s="25">
        <f t="shared" si="7"/>
        <v>0</v>
      </c>
      <c r="O14" s="25">
        <f t="shared" si="8"/>
        <v>0</v>
      </c>
      <c r="P14" s="25">
        <f t="shared" si="9"/>
        <v>0</v>
      </c>
      <c r="Q14" s="25">
        <f t="shared" si="10"/>
        <v>0</v>
      </c>
      <c r="R14" s="26">
        <f t="shared" si="1"/>
        <v>0</v>
      </c>
      <c r="S14" s="25">
        <f t="shared" si="2"/>
        <v>0</v>
      </c>
      <c r="T14" s="35">
        <v>35381</v>
      </c>
      <c r="U14" s="26">
        <f t="shared" si="3"/>
        <v>0</v>
      </c>
      <c r="V14" s="26">
        <f t="shared" si="4"/>
        <v>0</v>
      </c>
      <c r="W14" s="17"/>
      <c r="X14" s="18"/>
    </row>
    <row r="15" spans="1:24" x14ac:dyDescent="0.15">
      <c r="A15">
        <f t="shared" si="5"/>
        <v>31</v>
      </c>
      <c r="B15" s="19"/>
      <c r="C15" s="6">
        <v>0.31907349055954098</v>
      </c>
      <c r="D15" s="13"/>
      <c r="E15" s="29"/>
      <c r="F15" s="28">
        <f t="shared" si="0"/>
        <v>0</v>
      </c>
      <c r="G15" s="1">
        <v>10</v>
      </c>
      <c r="H15" s="21">
        <v>46296</v>
      </c>
      <c r="I15" s="16">
        <v>50</v>
      </c>
      <c r="J15" s="25">
        <f t="shared" si="11"/>
        <v>50</v>
      </c>
      <c r="K15" s="25">
        <f t="shared" si="12"/>
        <v>50</v>
      </c>
      <c r="L15" s="26">
        <f t="shared" si="13"/>
        <v>50</v>
      </c>
      <c r="M15" s="25">
        <f t="shared" si="14"/>
        <v>50</v>
      </c>
      <c r="N15" s="25">
        <f t="shared" si="7"/>
        <v>0</v>
      </c>
      <c r="O15" s="25">
        <f t="shared" si="8"/>
        <v>0</v>
      </c>
      <c r="P15" s="25">
        <f t="shared" si="9"/>
        <v>0</v>
      </c>
      <c r="Q15" s="25">
        <f t="shared" si="10"/>
        <v>0</v>
      </c>
      <c r="R15" s="26">
        <f t="shared" si="1"/>
        <v>0</v>
      </c>
      <c r="S15" s="25">
        <f t="shared" si="2"/>
        <v>0</v>
      </c>
      <c r="T15" s="35">
        <v>37066</v>
      </c>
      <c r="U15" s="26">
        <f t="shared" si="3"/>
        <v>0</v>
      </c>
      <c r="V15" s="26">
        <f t="shared" si="4"/>
        <v>0</v>
      </c>
      <c r="W15" s="17"/>
      <c r="X15" s="18"/>
    </row>
    <row r="16" spans="1:24" x14ac:dyDescent="0.15">
      <c r="A16">
        <f t="shared" si="5"/>
        <v>30</v>
      </c>
      <c r="B16" s="19"/>
      <c r="C16" s="6">
        <v>0.30034073913102899</v>
      </c>
      <c r="D16" s="13"/>
      <c r="E16" s="29"/>
      <c r="F16" s="28">
        <f t="shared" si="0"/>
        <v>0</v>
      </c>
      <c r="G16" s="1">
        <v>11</v>
      </c>
      <c r="H16" s="21">
        <v>46327</v>
      </c>
      <c r="I16" s="16">
        <v>71.650000000000006</v>
      </c>
      <c r="J16" s="25">
        <f t="shared" si="11"/>
        <v>71.650000000000006</v>
      </c>
      <c r="K16" s="25">
        <f t="shared" si="12"/>
        <v>71.650000000000006</v>
      </c>
      <c r="L16" s="26">
        <f t="shared" si="13"/>
        <v>71.650000000000006</v>
      </c>
      <c r="M16" s="25">
        <f t="shared" si="14"/>
        <v>71.650000000000006</v>
      </c>
      <c r="N16" s="25">
        <f t="shared" si="7"/>
        <v>0</v>
      </c>
      <c r="O16" s="25">
        <f t="shared" si="8"/>
        <v>0</v>
      </c>
      <c r="P16" s="25">
        <f t="shared" si="9"/>
        <v>0</v>
      </c>
      <c r="Q16" s="25">
        <f t="shared" si="10"/>
        <v>0</v>
      </c>
      <c r="R16" s="26">
        <f t="shared" si="1"/>
        <v>0</v>
      </c>
      <c r="S16" s="25">
        <f t="shared" si="2"/>
        <v>0</v>
      </c>
      <c r="T16" s="35">
        <v>44928</v>
      </c>
      <c r="U16" s="26">
        <f t="shared" si="3"/>
        <v>0</v>
      </c>
      <c r="V16" s="26">
        <f t="shared" si="4"/>
        <v>0</v>
      </c>
      <c r="W16" s="17"/>
      <c r="X16" s="18"/>
    </row>
    <row r="17" spans="1:24" x14ac:dyDescent="0.15">
      <c r="A17">
        <f t="shared" si="5"/>
        <v>31</v>
      </c>
      <c r="B17" s="19"/>
      <c r="C17" s="6">
        <v>0.30997458796932897</v>
      </c>
      <c r="D17" s="13"/>
      <c r="E17" s="29"/>
      <c r="F17" s="28">
        <f t="shared" si="0"/>
        <v>0</v>
      </c>
      <c r="G17" s="1">
        <v>12</v>
      </c>
      <c r="H17" s="21">
        <v>46357</v>
      </c>
      <c r="I17" s="16">
        <v>116.5</v>
      </c>
      <c r="J17" s="25">
        <f t="shared" si="11"/>
        <v>116.5</v>
      </c>
      <c r="K17" s="25">
        <f t="shared" si="12"/>
        <v>116.5</v>
      </c>
      <c r="L17" s="26">
        <f t="shared" si="13"/>
        <v>116.5</v>
      </c>
      <c r="M17" s="25">
        <f t="shared" si="14"/>
        <v>116.5</v>
      </c>
      <c r="N17" s="25">
        <f t="shared" si="7"/>
        <v>0</v>
      </c>
      <c r="O17" s="25">
        <f t="shared" si="8"/>
        <v>0</v>
      </c>
      <c r="P17" s="25">
        <f t="shared" si="9"/>
        <v>0</v>
      </c>
      <c r="Q17" s="25">
        <f t="shared" si="10"/>
        <v>0</v>
      </c>
      <c r="R17" s="26">
        <f t="shared" si="1"/>
        <v>0</v>
      </c>
      <c r="S17" s="25">
        <f t="shared" si="2"/>
        <v>0</v>
      </c>
      <c r="T17" s="35">
        <v>49421</v>
      </c>
      <c r="U17" s="26">
        <f t="shared" si="3"/>
        <v>0</v>
      </c>
      <c r="V17" s="26">
        <f t="shared" si="4"/>
        <v>0</v>
      </c>
      <c r="W17" s="17"/>
      <c r="X17" s="18"/>
    </row>
    <row r="18" spans="1:24" x14ac:dyDescent="0.15">
      <c r="A18">
        <f t="shared" si="5"/>
        <v>31</v>
      </c>
      <c r="B18" s="19"/>
      <c r="C18" s="6">
        <v>0.30856031824480601</v>
      </c>
      <c r="D18" s="13"/>
      <c r="E18" s="29"/>
      <c r="F18" s="28">
        <f t="shared" si="0"/>
        <v>0</v>
      </c>
      <c r="G18" s="1">
        <v>13</v>
      </c>
      <c r="H18" s="21">
        <v>46388</v>
      </c>
      <c r="I18" s="16">
        <v>153</v>
      </c>
      <c r="J18" s="25">
        <f t="shared" si="11"/>
        <v>153</v>
      </c>
      <c r="K18" s="25">
        <f t="shared" si="12"/>
        <v>153</v>
      </c>
      <c r="L18" s="26">
        <f t="shared" si="13"/>
        <v>153</v>
      </c>
      <c r="M18" s="25">
        <f t="shared" si="14"/>
        <v>153</v>
      </c>
      <c r="N18" s="25">
        <f t="shared" si="7"/>
        <v>0</v>
      </c>
      <c r="O18" s="25">
        <f t="shared" si="8"/>
        <v>0</v>
      </c>
      <c r="P18" s="25">
        <f t="shared" si="9"/>
        <v>0</v>
      </c>
      <c r="Q18" s="25">
        <f t="shared" si="10"/>
        <v>0</v>
      </c>
      <c r="R18" s="26">
        <f t="shared" si="1"/>
        <v>0</v>
      </c>
      <c r="S18" s="25">
        <f t="shared" si="2"/>
        <v>0</v>
      </c>
      <c r="T18" s="35">
        <v>44928</v>
      </c>
      <c r="U18" s="26">
        <f t="shared" si="3"/>
        <v>0</v>
      </c>
      <c r="V18" s="26">
        <f t="shared" si="4"/>
        <v>0</v>
      </c>
      <c r="W18" s="17"/>
      <c r="X18" s="18"/>
    </row>
    <row r="19" spans="1:24" x14ac:dyDescent="0.15">
      <c r="A19">
        <f t="shared" si="5"/>
        <v>28</v>
      </c>
      <c r="B19" s="19"/>
      <c r="C19" s="6">
        <v>0.41531716523460299</v>
      </c>
      <c r="D19" s="13"/>
      <c r="E19" s="29"/>
      <c r="F19" s="28">
        <f t="shared" si="0"/>
        <v>0</v>
      </c>
      <c r="G19" s="1">
        <v>14</v>
      </c>
      <c r="H19" s="21">
        <v>46419</v>
      </c>
      <c r="I19" s="16">
        <v>134</v>
      </c>
      <c r="J19" s="25">
        <f t="shared" si="11"/>
        <v>134</v>
      </c>
      <c r="K19" s="25">
        <f t="shared" si="12"/>
        <v>134</v>
      </c>
      <c r="L19" s="26">
        <f t="shared" si="13"/>
        <v>134</v>
      </c>
      <c r="M19" s="25">
        <f t="shared" si="14"/>
        <v>134</v>
      </c>
      <c r="N19" s="25">
        <f t="shared" si="7"/>
        <v>0</v>
      </c>
      <c r="O19" s="25">
        <f t="shared" si="8"/>
        <v>0</v>
      </c>
      <c r="P19" s="25">
        <f t="shared" si="9"/>
        <v>0</v>
      </c>
      <c r="Q19" s="25">
        <f t="shared" si="10"/>
        <v>0</v>
      </c>
      <c r="R19" s="26">
        <f t="shared" si="1"/>
        <v>0</v>
      </c>
      <c r="S19" s="25">
        <f t="shared" si="2"/>
        <v>0</v>
      </c>
      <c r="T19" s="35">
        <v>44928</v>
      </c>
      <c r="U19" s="26">
        <f t="shared" si="3"/>
        <v>0</v>
      </c>
      <c r="V19" s="26">
        <f t="shared" si="4"/>
        <v>0</v>
      </c>
      <c r="W19" s="17"/>
      <c r="X19" s="18"/>
    </row>
    <row r="20" spans="1:24" x14ac:dyDescent="0.15">
      <c r="A20">
        <f t="shared" si="5"/>
        <v>31</v>
      </c>
      <c r="B20" s="19"/>
      <c r="C20" s="6">
        <v>0.23083922329718301</v>
      </c>
      <c r="D20" s="13"/>
      <c r="E20" s="29"/>
      <c r="F20" s="28">
        <f t="shared" si="0"/>
        <v>0</v>
      </c>
      <c r="G20" s="1">
        <v>15</v>
      </c>
      <c r="H20" s="21">
        <v>46447</v>
      </c>
      <c r="I20" s="16">
        <v>74</v>
      </c>
      <c r="J20" s="25">
        <f t="shared" si="11"/>
        <v>74</v>
      </c>
      <c r="K20" s="25">
        <f t="shared" si="12"/>
        <v>74</v>
      </c>
      <c r="L20" s="26">
        <f t="shared" si="13"/>
        <v>74</v>
      </c>
      <c r="M20" s="25">
        <f t="shared" si="14"/>
        <v>74</v>
      </c>
      <c r="N20" s="25">
        <f t="shared" si="7"/>
        <v>0</v>
      </c>
      <c r="O20" s="25">
        <f t="shared" si="8"/>
        <v>0</v>
      </c>
      <c r="P20" s="25">
        <f t="shared" si="9"/>
        <v>0</v>
      </c>
      <c r="Q20" s="25">
        <f t="shared" si="10"/>
        <v>0</v>
      </c>
      <c r="R20" s="26">
        <f t="shared" si="1"/>
        <v>0</v>
      </c>
      <c r="S20" s="25">
        <f t="shared" si="2"/>
        <v>0</v>
      </c>
      <c r="T20" s="35">
        <v>51667</v>
      </c>
      <c r="U20" s="26">
        <f t="shared" si="3"/>
        <v>0</v>
      </c>
      <c r="V20" s="26">
        <f t="shared" si="4"/>
        <v>0</v>
      </c>
      <c r="W20" s="17"/>
      <c r="X20" s="18"/>
    </row>
    <row r="21" spans="1:24" x14ac:dyDescent="0.15">
      <c r="A21">
        <f t="shared" si="5"/>
        <v>30</v>
      </c>
      <c r="B21" s="19"/>
      <c r="C21" s="6">
        <v>0.158604125657372</v>
      </c>
      <c r="D21" s="13"/>
      <c r="E21" s="29"/>
      <c r="F21" s="28">
        <f t="shared" si="0"/>
        <v>0</v>
      </c>
      <c r="G21" s="1">
        <v>16</v>
      </c>
      <c r="H21" s="21">
        <v>46478</v>
      </c>
      <c r="I21" s="16">
        <v>51.75</v>
      </c>
      <c r="J21" s="25">
        <f t="shared" si="11"/>
        <v>51.75</v>
      </c>
      <c r="K21" s="25">
        <f t="shared" si="12"/>
        <v>51.75</v>
      </c>
      <c r="L21" s="26">
        <f t="shared" si="13"/>
        <v>51.75</v>
      </c>
      <c r="M21" s="25">
        <f t="shared" si="14"/>
        <v>51.75</v>
      </c>
      <c r="N21" s="25">
        <f t="shared" si="7"/>
        <v>0</v>
      </c>
      <c r="O21" s="25">
        <f t="shared" si="8"/>
        <v>0</v>
      </c>
      <c r="P21" s="25">
        <f t="shared" si="9"/>
        <v>0</v>
      </c>
      <c r="Q21" s="25">
        <f t="shared" si="10"/>
        <v>0</v>
      </c>
      <c r="R21" s="26">
        <f t="shared" si="1"/>
        <v>0</v>
      </c>
      <c r="S21" s="25">
        <f t="shared" si="2"/>
        <v>0</v>
      </c>
      <c r="T21" s="35">
        <v>37066</v>
      </c>
      <c r="U21" s="26">
        <f t="shared" si="3"/>
        <v>0</v>
      </c>
      <c r="V21" s="26">
        <f t="shared" si="4"/>
        <v>0</v>
      </c>
      <c r="W21" s="17"/>
      <c r="X21" s="18"/>
    </row>
    <row r="22" spans="1:24" x14ac:dyDescent="0.15">
      <c r="A22">
        <f t="shared" si="5"/>
        <v>31</v>
      </c>
      <c r="B22" s="19"/>
      <c r="C22" s="6">
        <v>0.29103303151502102</v>
      </c>
      <c r="D22" s="13"/>
      <c r="E22" s="29"/>
      <c r="F22" s="28">
        <f t="shared" si="0"/>
        <v>0</v>
      </c>
      <c r="G22" s="1">
        <v>17</v>
      </c>
      <c r="H22" s="21">
        <v>46508</v>
      </c>
      <c r="I22" s="16">
        <v>45.25</v>
      </c>
      <c r="J22" s="25">
        <f t="shared" si="11"/>
        <v>45.25</v>
      </c>
      <c r="K22" s="25">
        <f t="shared" si="12"/>
        <v>45.25</v>
      </c>
      <c r="L22" s="26">
        <f t="shared" si="13"/>
        <v>45.25</v>
      </c>
      <c r="M22" s="25">
        <f t="shared" si="14"/>
        <v>45.25</v>
      </c>
      <c r="N22" s="25">
        <f t="shared" si="7"/>
        <v>0</v>
      </c>
      <c r="O22" s="25">
        <f t="shared" si="8"/>
        <v>0</v>
      </c>
      <c r="P22" s="25">
        <f t="shared" si="9"/>
        <v>0</v>
      </c>
      <c r="Q22" s="25">
        <f t="shared" si="10"/>
        <v>0</v>
      </c>
      <c r="R22" s="26">
        <f t="shared" si="1"/>
        <v>0</v>
      </c>
      <c r="S22" s="25">
        <f t="shared" si="2"/>
        <v>0</v>
      </c>
      <c r="T22" s="35">
        <v>33696</v>
      </c>
      <c r="U22" s="26">
        <f t="shared" si="3"/>
        <v>0</v>
      </c>
      <c r="V22" s="26">
        <f t="shared" si="4"/>
        <v>0</v>
      </c>
      <c r="W22" s="17"/>
      <c r="X22" s="18"/>
    </row>
    <row r="23" spans="1:24" x14ac:dyDescent="0.15">
      <c r="A23">
        <f t="shared" si="5"/>
        <v>30</v>
      </c>
      <c r="B23" s="19"/>
      <c r="C23" s="6">
        <v>0.17372147745382199</v>
      </c>
      <c r="D23" s="13"/>
      <c r="E23" s="29"/>
      <c r="F23" s="28">
        <f t="shared" si="0"/>
        <v>0</v>
      </c>
      <c r="G23" s="1">
        <v>18</v>
      </c>
      <c r="H23" s="21">
        <v>46539</v>
      </c>
      <c r="I23" s="16">
        <v>57</v>
      </c>
      <c r="J23" s="25">
        <f t="shared" si="11"/>
        <v>57</v>
      </c>
      <c r="K23" s="25">
        <f t="shared" si="12"/>
        <v>57</v>
      </c>
      <c r="L23" s="26">
        <f t="shared" si="13"/>
        <v>57</v>
      </c>
      <c r="M23" s="25">
        <f t="shared" si="14"/>
        <v>57</v>
      </c>
      <c r="N23" s="25">
        <f t="shared" si="7"/>
        <v>0</v>
      </c>
      <c r="O23" s="25">
        <f t="shared" si="8"/>
        <v>0</v>
      </c>
      <c r="P23" s="25">
        <f t="shared" si="9"/>
        <v>0</v>
      </c>
      <c r="Q23" s="25">
        <f t="shared" si="10"/>
        <v>0</v>
      </c>
      <c r="R23" s="26">
        <f t="shared" si="1"/>
        <v>0</v>
      </c>
      <c r="S23" s="25">
        <f t="shared" si="2"/>
        <v>0</v>
      </c>
      <c r="T23" s="35">
        <v>49421</v>
      </c>
      <c r="U23" s="26">
        <f t="shared" si="3"/>
        <v>0</v>
      </c>
      <c r="V23" s="26">
        <f t="shared" si="4"/>
        <v>0</v>
      </c>
      <c r="W23" s="17"/>
      <c r="X23" s="18"/>
    </row>
    <row r="24" spans="1:24" x14ac:dyDescent="0.15">
      <c r="A24">
        <f t="shared" si="5"/>
        <v>31</v>
      </c>
      <c r="B24" s="19"/>
      <c r="C24" s="6">
        <v>0.18976308965192901</v>
      </c>
      <c r="D24" s="13"/>
      <c r="E24" s="29"/>
      <c r="F24" s="28">
        <f t="shared" si="0"/>
        <v>0</v>
      </c>
      <c r="G24" s="1">
        <v>19</v>
      </c>
      <c r="H24" s="21">
        <v>46569</v>
      </c>
      <c r="I24" s="16">
        <v>91.25</v>
      </c>
      <c r="J24" s="25">
        <f t="shared" si="11"/>
        <v>91.25</v>
      </c>
      <c r="K24" s="25">
        <f t="shared" si="12"/>
        <v>91.25</v>
      </c>
      <c r="L24" s="26">
        <f t="shared" si="13"/>
        <v>91.25</v>
      </c>
      <c r="M24" s="25">
        <f t="shared" si="14"/>
        <v>91.25</v>
      </c>
      <c r="N24" s="25">
        <f t="shared" si="7"/>
        <v>0</v>
      </c>
      <c r="O24" s="25">
        <f t="shared" si="8"/>
        <v>0</v>
      </c>
      <c r="P24" s="25">
        <f t="shared" si="9"/>
        <v>0</v>
      </c>
      <c r="Q24" s="25">
        <f t="shared" si="10"/>
        <v>0</v>
      </c>
      <c r="R24" s="26">
        <f t="shared" si="1"/>
        <v>0</v>
      </c>
      <c r="S24" s="25">
        <f t="shared" si="2"/>
        <v>0</v>
      </c>
      <c r="T24" s="35">
        <v>47174</v>
      </c>
      <c r="U24" s="26">
        <f t="shared" si="3"/>
        <v>0</v>
      </c>
      <c r="V24" s="26">
        <f t="shared" si="4"/>
        <v>0</v>
      </c>
      <c r="W24" s="17"/>
      <c r="X24" s="18"/>
    </row>
    <row r="25" spans="1:24" x14ac:dyDescent="0.15">
      <c r="A25">
        <f t="shared" si="5"/>
        <v>31</v>
      </c>
      <c r="B25" s="19"/>
      <c r="C25" s="6">
        <v>0.24299042288452699</v>
      </c>
      <c r="D25" s="13"/>
      <c r="E25" s="29"/>
      <c r="F25" s="28">
        <f t="shared" si="0"/>
        <v>0</v>
      </c>
      <c r="G25" s="1">
        <v>20</v>
      </c>
      <c r="H25" s="21">
        <v>46600</v>
      </c>
      <c r="I25" s="16">
        <v>72.849999999999994</v>
      </c>
      <c r="J25" s="25">
        <f t="shared" si="11"/>
        <v>72.849999999999994</v>
      </c>
      <c r="K25" s="25">
        <f t="shared" si="12"/>
        <v>72.849999999999994</v>
      </c>
      <c r="L25" s="26">
        <f t="shared" si="13"/>
        <v>72.849999999999994</v>
      </c>
      <c r="M25" s="25">
        <f t="shared" si="14"/>
        <v>72.849999999999994</v>
      </c>
      <c r="N25" s="25">
        <f t="shared" si="7"/>
        <v>0</v>
      </c>
      <c r="O25" s="25">
        <f t="shared" si="8"/>
        <v>0</v>
      </c>
      <c r="P25" s="25">
        <f t="shared" si="9"/>
        <v>0</v>
      </c>
      <c r="Q25" s="25">
        <f t="shared" si="10"/>
        <v>0</v>
      </c>
      <c r="R25" s="26">
        <f t="shared" si="1"/>
        <v>0</v>
      </c>
      <c r="S25" s="25">
        <f t="shared" si="2"/>
        <v>0</v>
      </c>
      <c r="T25" s="35">
        <v>49421</v>
      </c>
      <c r="U25" s="26">
        <f t="shared" si="3"/>
        <v>0</v>
      </c>
      <c r="V25" s="26">
        <f t="shared" si="4"/>
        <v>0</v>
      </c>
      <c r="W25" s="17"/>
      <c r="X25" s="18"/>
    </row>
    <row r="26" spans="1:24" x14ac:dyDescent="0.15">
      <c r="A26">
        <f t="shared" si="5"/>
        <v>30</v>
      </c>
      <c r="B26" s="19"/>
      <c r="C26" s="6">
        <v>0.17147114507733899</v>
      </c>
      <c r="D26" s="13"/>
      <c r="E26" s="29"/>
      <c r="F26" s="28">
        <f t="shared" si="0"/>
        <v>0</v>
      </c>
      <c r="G26" s="1">
        <v>21</v>
      </c>
      <c r="H26" s="21">
        <v>46631</v>
      </c>
      <c r="I26" s="16">
        <v>47.75</v>
      </c>
      <c r="J26" s="25">
        <f t="shared" si="11"/>
        <v>47.75</v>
      </c>
      <c r="K26" s="25">
        <f t="shared" si="12"/>
        <v>47.75</v>
      </c>
      <c r="L26" s="26">
        <f t="shared" si="13"/>
        <v>47.75</v>
      </c>
      <c r="M26" s="25">
        <f t="shared" si="14"/>
        <v>47.75</v>
      </c>
      <c r="N26" s="25">
        <f t="shared" si="7"/>
        <v>0</v>
      </c>
      <c r="O26" s="25">
        <f t="shared" si="8"/>
        <v>0</v>
      </c>
      <c r="P26" s="25">
        <f t="shared" si="9"/>
        <v>0</v>
      </c>
      <c r="Q26" s="25">
        <f t="shared" si="10"/>
        <v>0</v>
      </c>
      <c r="R26" s="26">
        <f t="shared" si="1"/>
        <v>0</v>
      </c>
      <c r="S26" s="25">
        <f t="shared" si="2"/>
        <v>0</v>
      </c>
      <c r="T26" s="35">
        <v>35381</v>
      </c>
      <c r="U26" s="26">
        <f t="shared" si="3"/>
        <v>0</v>
      </c>
      <c r="V26" s="26">
        <f t="shared" si="4"/>
        <v>0</v>
      </c>
      <c r="W26" s="17"/>
      <c r="X26" s="18"/>
    </row>
    <row r="27" spans="1:24" x14ac:dyDescent="0.15">
      <c r="A27">
        <f t="shared" si="5"/>
        <v>31</v>
      </c>
      <c r="B27" s="19"/>
      <c r="C27" s="6">
        <v>0.26570565613998498</v>
      </c>
      <c r="D27" s="13"/>
      <c r="E27" s="29"/>
      <c r="F27" s="28">
        <f t="shared" si="0"/>
        <v>0</v>
      </c>
      <c r="G27" s="1">
        <v>22</v>
      </c>
      <c r="H27" s="21">
        <v>46661</v>
      </c>
      <c r="I27" s="16">
        <v>47.75</v>
      </c>
      <c r="J27" s="25">
        <f t="shared" si="11"/>
        <v>47.75</v>
      </c>
      <c r="K27" s="25">
        <f t="shared" si="12"/>
        <v>47.75</v>
      </c>
      <c r="L27" s="26">
        <f t="shared" si="13"/>
        <v>47.75</v>
      </c>
      <c r="M27" s="25">
        <f t="shared" si="14"/>
        <v>47.75</v>
      </c>
      <c r="N27" s="25">
        <f t="shared" si="7"/>
        <v>0</v>
      </c>
      <c r="O27" s="25">
        <f t="shared" si="8"/>
        <v>0</v>
      </c>
      <c r="P27" s="25">
        <f t="shared" si="9"/>
        <v>0</v>
      </c>
      <c r="Q27" s="25">
        <f t="shared" si="10"/>
        <v>0</v>
      </c>
      <c r="R27" s="26">
        <f t="shared" si="1"/>
        <v>0</v>
      </c>
      <c r="S27" s="25">
        <f t="shared" si="2"/>
        <v>0</v>
      </c>
      <c r="T27" s="35">
        <v>35381</v>
      </c>
      <c r="U27" s="26">
        <f t="shared" si="3"/>
        <v>0</v>
      </c>
      <c r="V27" s="26">
        <f t="shared" si="4"/>
        <v>0</v>
      </c>
      <c r="W27" s="17"/>
      <c r="X27" s="18"/>
    </row>
    <row r="28" spans="1:24" x14ac:dyDescent="0.15">
      <c r="A28">
        <f t="shared" si="5"/>
        <v>30</v>
      </c>
      <c r="B28" s="19"/>
      <c r="C28" s="6">
        <v>0.28507823257333498</v>
      </c>
      <c r="D28" s="13"/>
      <c r="E28" s="29"/>
      <c r="F28" s="28">
        <f t="shared" si="0"/>
        <v>0</v>
      </c>
      <c r="G28" s="1">
        <v>23</v>
      </c>
      <c r="H28" s="21">
        <v>46692</v>
      </c>
      <c r="I28" s="16">
        <v>63</v>
      </c>
      <c r="J28" s="25">
        <f t="shared" si="11"/>
        <v>63</v>
      </c>
      <c r="K28" s="25">
        <f t="shared" si="12"/>
        <v>63</v>
      </c>
      <c r="L28" s="26">
        <f t="shared" si="13"/>
        <v>63</v>
      </c>
      <c r="M28" s="25">
        <f t="shared" si="14"/>
        <v>63</v>
      </c>
      <c r="N28" s="25">
        <f t="shared" si="7"/>
        <v>0</v>
      </c>
      <c r="O28" s="25">
        <f t="shared" si="8"/>
        <v>0</v>
      </c>
      <c r="P28" s="25">
        <f t="shared" si="9"/>
        <v>0</v>
      </c>
      <c r="Q28" s="25">
        <f t="shared" si="10"/>
        <v>0</v>
      </c>
      <c r="R28" s="26">
        <f t="shared" si="1"/>
        <v>0</v>
      </c>
      <c r="S28" s="25">
        <f t="shared" si="2"/>
        <v>0</v>
      </c>
      <c r="T28" s="35">
        <v>47174</v>
      </c>
      <c r="U28" s="26">
        <f t="shared" si="3"/>
        <v>0</v>
      </c>
      <c r="V28" s="26">
        <f t="shared" si="4"/>
        <v>0</v>
      </c>
      <c r="W28" s="17"/>
      <c r="X28" s="18"/>
    </row>
    <row r="29" spans="1:24" x14ac:dyDescent="0.15">
      <c r="A29">
        <f t="shared" si="5"/>
        <v>31</v>
      </c>
      <c r="B29" s="19"/>
      <c r="C29" s="6">
        <v>0.204958271145224</v>
      </c>
      <c r="D29" s="13"/>
      <c r="E29" s="36">
        <f>G26/12</f>
        <v>1.75</v>
      </c>
      <c r="F29" s="28">
        <f t="shared" si="0"/>
        <v>0</v>
      </c>
      <c r="G29" s="1">
        <v>24</v>
      </c>
      <c r="H29" s="21">
        <v>46722</v>
      </c>
      <c r="I29" s="16">
        <v>98.5</v>
      </c>
      <c r="J29" s="25">
        <f t="shared" si="11"/>
        <v>50.478964546876412</v>
      </c>
      <c r="K29" s="25">
        <f t="shared" si="12"/>
        <v>60.78139302592696</v>
      </c>
      <c r="L29" s="26">
        <f t="shared" si="13"/>
        <v>148.31161653329173</v>
      </c>
      <c r="M29" s="25">
        <f t="shared" si="14"/>
        <v>178.58105323157596</v>
      </c>
      <c r="N29" s="25">
        <f t="shared" si="7"/>
        <v>80.081053231575964</v>
      </c>
      <c r="O29" s="25">
        <f t="shared" si="8"/>
        <v>-48.021035453123588</v>
      </c>
      <c r="P29" s="25">
        <f t="shared" si="9"/>
        <v>4137547.7773158355</v>
      </c>
      <c r="Q29" s="25">
        <f t="shared" si="10"/>
        <v>-2481102.8387565366</v>
      </c>
      <c r="R29" s="26">
        <f t="shared" si="1"/>
        <v>49.811616533291726</v>
      </c>
      <c r="S29" s="25">
        <f t="shared" si="2"/>
        <v>-37.71860697407304</v>
      </c>
      <c r="T29" s="35">
        <v>51667</v>
      </c>
      <c r="U29" s="26">
        <f t="shared" si="3"/>
        <v>2573616.7914255834</v>
      </c>
      <c r="V29" s="26">
        <f t="shared" si="4"/>
        <v>-1948807.2665294318</v>
      </c>
      <c r="W29" s="17"/>
      <c r="X29" s="18"/>
    </row>
    <row r="30" spans="1:24" x14ac:dyDescent="0.15">
      <c r="A30">
        <f t="shared" si="5"/>
        <v>31</v>
      </c>
      <c r="B30" s="19"/>
      <c r="C30" s="6">
        <v>0.32201799204367199</v>
      </c>
      <c r="D30" s="13"/>
      <c r="E30" s="29">
        <f>$E$29</f>
        <v>1.75</v>
      </c>
      <c r="F30" s="28">
        <f t="shared" si="0"/>
        <v>0</v>
      </c>
      <c r="G30" s="1">
        <v>25</v>
      </c>
      <c r="H30" s="21">
        <v>46753</v>
      </c>
      <c r="I30" s="16">
        <v>147</v>
      </c>
      <c r="J30" s="25">
        <f t="shared" si="11"/>
        <v>49.756584259792248</v>
      </c>
      <c r="K30" s="25">
        <f t="shared" si="12"/>
        <v>66.616066618185371</v>
      </c>
      <c r="L30" s="26">
        <f t="shared" si="13"/>
        <v>270.54869673759634</v>
      </c>
      <c r="M30" s="25">
        <f t="shared" si="14"/>
        <v>362.22120697097466</v>
      </c>
      <c r="N30" s="25">
        <f t="shared" si="7"/>
        <v>215.22120697097466</v>
      </c>
      <c r="O30" s="25">
        <f t="shared" si="8"/>
        <v>-97.243415740207752</v>
      </c>
      <c r="P30" s="25">
        <f t="shared" si="9"/>
        <v>10152845.217648759</v>
      </c>
      <c r="Q30" s="25">
        <f t="shared" si="10"/>
        <v>-4587360.8941285601</v>
      </c>
      <c r="R30" s="26">
        <f t="shared" si="1"/>
        <v>123.54869673759634</v>
      </c>
      <c r="S30" s="25">
        <f t="shared" si="2"/>
        <v>-80.383933381814629</v>
      </c>
      <c r="T30" s="35">
        <v>47174</v>
      </c>
      <c r="U30" s="26">
        <f t="shared" si="3"/>
        <v>5828286.2198993703</v>
      </c>
      <c r="V30" s="26">
        <f t="shared" si="4"/>
        <v>-3792031.6733537233</v>
      </c>
      <c r="W30" s="17"/>
      <c r="X30" s="18"/>
    </row>
    <row r="31" spans="1:24" x14ac:dyDescent="0.15">
      <c r="A31">
        <f t="shared" si="5"/>
        <v>29</v>
      </c>
      <c r="B31" s="19"/>
      <c r="C31" s="6">
        <v>0.43711572461168802</v>
      </c>
      <c r="D31" s="13"/>
      <c r="E31" s="29">
        <f t="shared" ref="E31:E89" si="15">$E$29</f>
        <v>1.75</v>
      </c>
      <c r="F31" s="28">
        <f t="shared" si="0"/>
        <v>0</v>
      </c>
      <c r="G31" s="1">
        <v>26</v>
      </c>
      <c r="H31" s="21">
        <v>46784</v>
      </c>
      <c r="I31" s="16">
        <v>128</v>
      </c>
      <c r="J31" s="25">
        <f t="shared" si="11"/>
        <v>28.149285083436112</v>
      </c>
      <c r="K31" s="25">
        <f t="shared" si="12"/>
        <v>41.830386987209536</v>
      </c>
      <c r="L31" s="26">
        <f t="shared" si="13"/>
        <v>280.35725953321315</v>
      </c>
      <c r="M31" s="25">
        <f t="shared" si="14"/>
        <v>416.61635903672129</v>
      </c>
      <c r="N31" s="25">
        <f t="shared" si="7"/>
        <v>288.61635903672129</v>
      </c>
      <c r="O31" s="25">
        <f t="shared" si="8"/>
        <v>-99.850714916563888</v>
      </c>
      <c r="P31" s="25">
        <f t="shared" si="9"/>
        <v>13615188.121198291</v>
      </c>
      <c r="Q31" s="25">
        <f t="shared" si="10"/>
        <v>-4710357.6254739845</v>
      </c>
      <c r="R31" s="26">
        <f t="shared" si="1"/>
        <v>152.35725953321315</v>
      </c>
      <c r="S31" s="25">
        <f t="shared" si="2"/>
        <v>-86.169613012790464</v>
      </c>
      <c r="T31" s="35">
        <v>47174</v>
      </c>
      <c r="U31" s="26">
        <f t="shared" si="3"/>
        <v>7187301.3612197973</v>
      </c>
      <c r="V31" s="26">
        <f t="shared" si="4"/>
        <v>-4064965.3242653771</v>
      </c>
      <c r="W31" s="17"/>
      <c r="X31" s="18"/>
    </row>
    <row r="32" spans="1:24" x14ac:dyDescent="0.15">
      <c r="A32">
        <f t="shared" si="5"/>
        <v>31</v>
      </c>
      <c r="B32" s="19"/>
      <c r="C32" s="6">
        <v>0.252443483398546</v>
      </c>
      <c r="D32" s="13"/>
      <c r="E32" s="29">
        <f t="shared" si="15"/>
        <v>1.75</v>
      </c>
      <c r="F32" s="28">
        <f t="shared" si="0"/>
        <v>0</v>
      </c>
      <c r="G32" s="1">
        <v>27</v>
      </c>
      <c r="H32" s="21">
        <v>46813</v>
      </c>
      <c r="I32" s="16">
        <v>68</v>
      </c>
      <c r="J32" s="25">
        <f t="shared" si="11"/>
        <v>29.536870724644245</v>
      </c>
      <c r="K32" s="25">
        <f t="shared" si="12"/>
        <v>37.128913471129565</v>
      </c>
      <c r="L32" s="26">
        <f t="shared" si="13"/>
        <v>111.39650002125137</v>
      </c>
      <c r="M32" s="25">
        <f t="shared" si="14"/>
        <v>140.02942453970942</v>
      </c>
      <c r="N32" s="25">
        <f t="shared" si="7"/>
        <v>72.029424539709424</v>
      </c>
      <c r="O32" s="25">
        <f t="shared" si="8"/>
        <v>-38.463129275355755</v>
      </c>
      <c r="P32" s="25">
        <f t="shared" si="9"/>
        <v>3721544.2776931669</v>
      </c>
      <c r="Q32" s="25">
        <f t="shared" si="10"/>
        <v>-1987274.5002698058</v>
      </c>
      <c r="R32" s="26">
        <f t="shared" si="1"/>
        <v>43.39650002125137</v>
      </c>
      <c r="S32" s="25">
        <f t="shared" si="2"/>
        <v>-30.871086528870435</v>
      </c>
      <c r="T32" s="35">
        <v>51667</v>
      </c>
      <c r="U32" s="26">
        <f t="shared" si="3"/>
        <v>2242166.9665979943</v>
      </c>
      <c r="V32" s="26">
        <f t="shared" si="4"/>
        <v>-1595016.4276871488</v>
      </c>
      <c r="W32" s="17"/>
      <c r="X32" s="18"/>
    </row>
    <row r="33" spans="1:24" x14ac:dyDescent="0.15">
      <c r="A33">
        <f t="shared" si="5"/>
        <v>30</v>
      </c>
      <c r="B33" s="19"/>
      <c r="C33" s="6">
        <v>0.179797828089232</v>
      </c>
      <c r="D33" s="13"/>
      <c r="E33" s="29">
        <f t="shared" si="15"/>
        <v>1.75</v>
      </c>
      <c r="F33" s="28">
        <f t="shared" si="0"/>
        <v>0</v>
      </c>
      <c r="G33" s="1">
        <v>28</v>
      </c>
      <c r="H33" s="21">
        <v>46844</v>
      </c>
      <c r="I33" s="16">
        <v>45.75</v>
      </c>
      <c r="J33" s="25">
        <f t="shared" si="11"/>
        <v>25.55197325327569</v>
      </c>
      <c r="K33" s="25">
        <f t="shared" si="12"/>
        <v>30.073425587806742</v>
      </c>
      <c r="L33" s="26">
        <f t="shared" si="13"/>
        <v>65.770339502139947</v>
      </c>
      <c r="M33" s="25">
        <f t="shared" si="14"/>
        <v>77.408480014310655</v>
      </c>
      <c r="N33" s="25">
        <f t="shared" si="7"/>
        <v>31.658480014310655</v>
      </c>
      <c r="O33" s="25">
        <f t="shared" si="8"/>
        <v>-20.19802674672431</v>
      </c>
      <c r="P33" s="25">
        <f t="shared" si="9"/>
        <v>1066764.1425622117</v>
      </c>
      <c r="Q33" s="25">
        <f t="shared" si="10"/>
        <v>-680592.70925762237</v>
      </c>
      <c r="R33" s="26">
        <f t="shared" si="1"/>
        <v>20.020339502139947</v>
      </c>
      <c r="S33" s="25">
        <f t="shared" si="2"/>
        <v>-15.676574412193258</v>
      </c>
      <c r="T33" s="35">
        <v>33696</v>
      </c>
      <c r="U33" s="26">
        <f t="shared" si="3"/>
        <v>674605.35986410768</v>
      </c>
      <c r="V33" s="26">
        <f t="shared" si="4"/>
        <v>-528237.85139326402</v>
      </c>
      <c r="W33" s="17"/>
      <c r="X33" s="18"/>
    </row>
    <row r="34" spans="1:24" x14ac:dyDescent="0.15">
      <c r="A34">
        <f t="shared" si="5"/>
        <v>31</v>
      </c>
      <c r="B34" s="19"/>
      <c r="C34" s="6">
        <v>0.33412844340612302</v>
      </c>
      <c r="D34" s="13"/>
      <c r="E34" s="29">
        <f t="shared" si="15"/>
        <v>1.75</v>
      </c>
      <c r="F34" s="28">
        <f t="shared" si="0"/>
        <v>0</v>
      </c>
      <c r="G34" s="1">
        <v>29</v>
      </c>
      <c r="H34" s="21">
        <v>46874</v>
      </c>
      <c r="I34" s="16">
        <v>39.25</v>
      </c>
      <c r="J34" s="25">
        <f t="shared" si="11"/>
        <v>12.709892926657679</v>
      </c>
      <c r="K34" s="25">
        <f t="shared" si="12"/>
        <v>17.204272834788281</v>
      </c>
      <c r="L34" s="26">
        <f t="shared" si="13"/>
        <v>73.653520019424093</v>
      </c>
      <c r="M34" s="25">
        <f t="shared" si="14"/>
        <v>99.698342147240766</v>
      </c>
      <c r="N34" s="25">
        <f t="shared" si="7"/>
        <v>60.448342147240766</v>
      </c>
      <c r="O34" s="25">
        <f t="shared" si="8"/>
        <v>-26.54010707334232</v>
      </c>
      <c r="P34" s="25">
        <f t="shared" si="9"/>
        <v>2240578.2500296263</v>
      </c>
      <c r="Q34" s="25">
        <f t="shared" si="10"/>
        <v>-983735.60878050642</v>
      </c>
      <c r="R34" s="26">
        <f t="shared" si="1"/>
        <v>34.403520019424093</v>
      </c>
      <c r="S34" s="25">
        <f t="shared" si="2"/>
        <v>-22.045727165211719</v>
      </c>
      <c r="T34" s="35">
        <v>37066</v>
      </c>
      <c r="U34" s="26">
        <f t="shared" si="3"/>
        <v>1275200.8730399734</v>
      </c>
      <c r="V34" s="26">
        <f t="shared" si="4"/>
        <v>-817146.92310573754</v>
      </c>
      <c r="W34" s="17"/>
      <c r="X34" s="18"/>
    </row>
    <row r="35" spans="1:24" x14ac:dyDescent="0.15">
      <c r="A35">
        <f t="shared" si="5"/>
        <v>30</v>
      </c>
      <c r="B35" s="19"/>
      <c r="C35" s="6">
        <v>0.19488234259911</v>
      </c>
      <c r="D35" s="13"/>
      <c r="E35" s="29">
        <f t="shared" si="15"/>
        <v>1.75</v>
      </c>
      <c r="F35" s="28">
        <f t="shared" si="0"/>
        <v>0</v>
      </c>
      <c r="G35" s="1">
        <v>30</v>
      </c>
      <c r="H35" s="21">
        <v>46905</v>
      </c>
      <c r="I35" s="16">
        <v>51</v>
      </c>
      <c r="J35" s="25">
        <f t="shared" si="11"/>
        <v>27.055978501083693</v>
      </c>
      <c r="K35" s="25">
        <f t="shared" si="12"/>
        <v>32.281828786352598</v>
      </c>
      <c r="L35" s="26">
        <f t="shared" si="13"/>
        <v>75.390652618330861</v>
      </c>
      <c r="M35" s="25">
        <f t="shared" si="14"/>
        <v>89.95232383921585</v>
      </c>
      <c r="N35" s="25">
        <f t="shared" si="7"/>
        <v>38.95232383921585</v>
      </c>
      <c r="O35" s="25">
        <f t="shared" si="8"/>
        <v>-23.944021498916307</v>
      </c>
      <c r="P35" s="25">
        <f t="shared" si="9"/>
        <v>1925062.7964578865</v>
      </c>
      <c r="Q35" s="25">
        <f t="shared" si="10"/>
        <v>-1183337.4864979428</v>
      </c>
      <c r="R35" s="26">
        <f t="shared" si="1"/>
        <v>24.390652618330861</v>
      </c>
      <c r="S35" s="25">
        <f t="shared" si="2"/>
        <v>-18.718171213647402</v>
      </c>
      <c r="T35" s="35">
        <v>49421</v>
      </c>
      <c r="U35" s="26">
        <f t="shared" si="3"/>
        <v>1205410.4430505296</v>
      </c>
      <c r="V35" s="26">
        <f t="shared" si="4"/>
        <v>-925070.73954966827</v>
      </c>
      <c r="W35" s="17"/>
      <c r="X35" s="18"/>
    </row>
    <row r="36" spans="1:24" x14ac:dyDescent="0.15">
      <c r="A36">
        <f t="shared" si="5"/>
        <v>31</v>
      </c>
      <c r="B36" s="19"/>
      <c r="C36" s="6">
        <v>0.20367484831494601</v>
      </c>
      <c r="D36" s="13"/>
      <c r="E36" s="29">
        <f t="shared" si="15"/>
        <v>1.75</v>
      </c>
      <c r="F36" s="28">
        <f t="shared" si="0"/>
        <v>0</v>
      </c>
      <c r="G36" s="1">
        <v>31</v>
      </c>
      <c r="H36" s="21">
        <v>46935</v>
      </c>
      <c r="I36" s="16">
        <v>85.25</v>
      </c>
      <c r="J36" s="25">
        <f t="shared" si="11"/>
        <v>43.881949453612357</v>
      </c>
      <c r="K36" s="25">
        <f t="shared" si="12"/>
        <v>52.776555253239003</v>
      </c>
      <c r="L36" s="26">
        <f t="shared" si="13"/>
        <v>128.06182342296427</v>
      </c>
      <c r="M36" s="25">
        <f t="shared" si="14"/>
        <v>154.01918063957478</v>
      </c>
      <c r="N36" s="25">
        <f t="shared" si="7"/>
        <v>68.769180639574785</v>
      </c>
      <c r="O36" s="25">
        <f t="shared" si="8"/>
        <v>-41.368050546387643</v>
      </c>
      <c r="P36" s="25">
        <f t="shared" si="9"/>
        <v>3089661.7477748161</v>
      </c>
      <c r="Q36" s="25">
        <f t="shared" si="10"/>
        <v>-1858583.7749481041</v>
      </c>
      <c r="R36" s="26">
        <f t="shared" si="1"/>
        <v>42.811823422964267</v>
      </c>
      <c r="S36" s="25">
        <f t="shared" si="2"/>
        <v>-32.473444746760997</v>
      </c>
      <c r="T36" s="35">
        <v>44928</v>
      </c>
      <c r="U36" s="26">
        <f t="shared" si="3"/>
        <v>1923449.6027469386</v>
      </c>
      <c r="V36" s="26">
        <f t="shared" si="4"/>
        <v>-1458966.9255824781</v>
      </c>
      <c r="W36" s="17"/>
      <c r="X36" s="18"/>
    </row>
    <row r="37" spans="1:24" x14ac:dyDescent="0.15">
      <c r="A37">
        <f t="shared" si="5"/>
        <v>31</v>
      </c>
      <c r="B37" s="19"/>
      <c r="C37" s="6">
        <v>0.26486386209682999</v>
      </c>
      <c r="D37" s="13"/>
      <c r="E37" s="29">
        <f t="shared" si="15"/>
        <v>1.75</v>
      </c>
      <c r="F37" s="28">
        <f t="shared" si="0"/>
        <v>0</v>
      </c>
      <c r="G37" s="1">
        <v>32</v>
      </c>
      <c r="H37" s="21">
        <v>46966</v>
      </c>
      <c r="I37" s="16">
        <v>66.849999999999994</v>
      </c>
      <c r="J37" s="25">
        <f t="shared" si="11"/>
        <v>27.790037430864913</v>
      </c>
      <c r="K37" s="25">
        <f t="shared" si="12"/>
        <v>35.328472668065352</v>
      </c>
      <c r="L37" s="26">
        <f t="shared" si="13"/>
        <v>111.88212509697551</v>
      </c>
      <c r="M37" s="25">
        <f t="shared" si="14"/>
        <v>142.23171193514113</v>
      </c>
      <c r="N37" s="25">
        <f t="shared" si="7"/>
        <v>75.381711935141141</v>
      </c>
      <c r="O37" s="25">
        <f t="shared" si="8"/>
        <v>-39.059962569135081</v>
      </c>
      <c r="P37" s="25">
        <f t="shared" si="9"/>
        <v>3894746.9105529375</v>
      </c>
      <c r="Q37" s="25">
        <f t="shared" si="10"/>
        <v>-2018111.0860595023</v>
      </c>
      <c r="R37" s="26">
        <f t="shared" si="1"/>
        <v>45.03212509697552</v>
      </c>
      <c r="S37" s="25">
        <f t="shared" si="2"/>
        <v>-31.521527331934642</v>
      </c>
      <c r="T37" s="35">
        <v>51667</v>
      </c>
      <c r="U37" s="26">
        <f t="shared" si="3"/>
        <v>2326674.8073854344</v>
      </c>
      <c r="V37" s="26">
        <f t="shared" si="4"/>
        <v>-1628622.7526590673</v>
      </c>
      <c r="W37" s="17"/>
      <c r="X37" s="18"/>
    </row>
    <row r="38" spans="1:24" x14ac:dyDescent="0.15">
      <c r="A38">
        <f t="shared" si="5"/>
        <v>30</v>
      </c>
      <c r="B38" s="19"/>
      <c r="C38" s="6">
        <v>0.19617443300110399</v>
      </c>
      <c r="D38" s="13"/>
      <c r="E38" s="29">
        <f t="shared" si="15"/>
        <v>1.75</v>
      </c>
      <c r="F38" s="28">
        <f t="shared" si="0"/>
        <v>0</v>
      </c>
      <c r="G38" s="1">
        <v>33</v>
      </c>
      <c r="H38" s="21">
        <v>46997</v>
      </c>
      <c r="I38" s="16">
        <v>41.75</v>
      </c>
      <c r="J38" s="25">
        <f t="shared" si="11"/>
        <v>22.050980872074845</v>
      </c>
      <c r="K38" s="25">
        <f t="shared" si="12"/>
        <v>26.340941408853375</v>
      </c>
      <c r="L38" s="26">
        <f t="shared" si="13"/>
        <v>61.863277721584787</v>
      </c>
      <c r="M38" s="25">
        <f t="shared" si="14"/>
        <v>73.898616269152882</v>
      </c>
      <c r="N38" s="25">
        <f t="shared" si="7"/>
        <v>32.148616269152882</v>
      </c>
      <c r="O38" s="25">
        <f t="shared" si="8"/>
        <v>-19.699019127925155</v>
      </c>
      <c r="P38" s="25">
        <f t="shared" si="9"/>
        <v>1083279.7738053754</v>
      </c>
      <c r="Q38" s="25">
        <f t="shared" si="10"/>
        <v>-663778.14853456605</v>
      </c>
      <c r="R38" s="26">
        <f t="shared" si="1"/>
        <v>20.113277721584787</v>
      </c>
      <c r="S38" s="25">
        <f t="shared" si="2"/>
        <v>-15.409058591146625</v>
      </c>
      <c r="T38" s="35">
        <v>33696</v>
      </c>
      <c r="U38" s="26">
        <f t="shared" si="3"/>
        <v>677737.006106521</v>
      </c>
      <c r="V38" s="26">
        <f t="shared" si="4"/>
        <v>-519223.63828727667</v>
      </c>
      <c r="W38" s="17"/>
      <c r="X38" s="18"/>
    </row>
    <row r="39" spans="1:24" x14ac:dyDescent="0.15">
      <c r="A39">
        <f t="shared" si="5"/>
        <v>31</v>
      </c>
      <c r="B39" s="19"/>
      <c r="C39" s="6">
        <v>0.30265774590508798</v>
      </c>
      <c r="D39" s="13"/>
      <c r="E39" s="29">
        <f t="shared" si="15"/>
        <v>1.75</v>
      </c>
      <c r="F39" s="28">
        <f t="shared" si="0"/>
        <v>0</v>
      </c>
      <c r="G39" s="1">
        <v>34</v>
      </c>
      <c r="H39" s="21">
        <v>47027</v>
      </c>
      <c r="I39" s="16">
        <v>41.75</v>
      </c>
      <c r="J39" s="25">
        <f t="shared" si="11"/>
        <v>15.160083678326169</v>
      </c>
      <c r="K39" s="25">
        <f t="shared" si="12"/>
        <v>19.943937575522984</v>
      </c>
      <c r="L39" s="26">
        <f t="shared" si="13"/>
        <v>74.453196408990337</v>
      </c>
      <c r="M39" s="25">
        <f t="shared" si="14"/>
        <v>97.947342045476276</v>
      </c>
      <c r="N39" s="25">
        <f t="shared" si="7"/>
        <v>56.197342045476276</v>
      </c>
      <c r="O39" s="25">
        <f t="shared" si="8"/>
        <v>-26.589916321673833</v>
      </c>
      <c r="P39" s="25">
        <f t="shared" si="9"/>
        <v>2083010.6802576235</v>
      </c>
      <c r="Q39" s="25">
        <f t="shared" si="10"/>
        <v>-985581.83837916225</v>
      </c>
      <c r="R39" s="26">
        <f t="shared" si="1"/>
        <v>32.703196408990337</v>
      </c>
      <c r="S39" s="25">
        <f t="shared" si="2"/>
        <v>-21.806062424477016</v>
      </c>
      <c r="T39" s="35">
        <v>37066</v>
      </c>
      <c r="U39" s="26">
        <f t="shared" si="3"/>
        <v>1212176.6780956357</v>
      </c>
      <c r="V39" s="26">
        <f t="shared" si="4"/>
        <v>-808263.50982566504</v>
      </c>
      <c r="W39" s="17"/>
      <c r="X39" s="18"/>
    </row>
    <row r="40" spans="1:24" x14ac:dyDescent="0.15">
      <c r="A40">
        <f t="shared" si="5"/>
        <v>30</v>
      </c>
      <c r="B40" s="19"/>
      <c r="C40" s="6">
        <v>0.31461120640985502</v>
      </c>
      <c r="D40" s="13"/>
      <c r="E40" s="29">
        <f t="shared" si="15"/>
        <v>1.75</v>
      </c>
      <c r="F40" s="28">
        <f t="shared" si="0"/>
        <v>0</v>
      </c>
      <c r="G40" s="1">
        <v>35</v>
      </c>
      <c r="H40" s="21">
        <v>47058</v>
      </c>
      <c r="I40" s="16">
        <v>57</v>
      </c>
      <c r="J40" s="25">
        <f t="shared" si="11"/>
        <v>19.820512261391357</v>
      </c>
      <c r="K40" s="25">
        <f t="shared" si="12"/>
        <v>26.358967925181517</v>
      </c>
      <c r="L40" s="26">
        <f t="shared" si="13"/>
        <v>103.65609183335599</v>
      </c>
      <c r="M40" s="25">
        <f t="shared" si="14"/>
        <v>137.85050375349388</v>
      </c>
      <c r="N40" s="25">
        <f t="shared" si="7"/>
        <v>80.850503753493882</v>
      </c>
      <c r="O40" s="25">
        <f t="shared" si="8"/>
        <v>-37.179487738608643</v>
      </c>
      <c r="P40" s="25">
        <f t="shared" si="9"/>
        <v>3814041.6640673205</v>
      </c>
      <c r="Q40" s="25">
        <f t="shared" si="10"/>
        <v>-1753905.1545811242</v>
      </c>
      <c r="R40" s="26">
        <f t="shared" si="1"/>
        <v>46.656091833355987</v>
      </c>
      <c r="S40" s="25">
        <f t="shared" si="2"/>
        <v>-30.641032074818483</v>
      </c>
      <c r="T40" s="35">
        <v>47174</v>
      </c>
      <c r="U40" s="26">
        <f t="shared" si="3"/>
        <v>2200954.4761467353</v>
      </c>
      <c r="V40" s="26">
        <f t="shared" si="4"/>
        <v>-1445460.0470974871</v>
      </c>
      <c r="W40" s="17"/>
      <c r="X40" s="18"/>
    </row>
    <row r="41" spans="1:24" x14ac:dyDescent="0.15">
      <c r="A41">
        <f t="shared" si="5"/>
        <v>31</v>
      </c>
      <c r="B41" s="19"/>
      <c r="C41" s="6">
        <v>0.21848330636260899</v>
      </c>
      <c r="D41" s="13"/>
      <c r="E41" s="29">
        <f t="shared" si="15"/>
        <v>1.75</v>
      </c>
      <c r="F41" s="28">
        <f t="shared" si="0"/>
        <v>0</v>
      </c>
      <c r="G41" s="1">
        <v>36</v>
      </c>
      <c r="H41" s="21">
        <v>47088</v>
      </c>
      <c r="I41" s="16">
        <v>92.5</v>
      </c>
      <c r="J41" s="25">
        <f t="shared" si="11"/>
        <v>45.24125550431129</v>
      </c>
      <c r="K41" s="25">
        <f t="shared" si="12"/>
        <v>55.146450468872629</v>
      </c>
      <c r="L41" s="26">
        <f t="shared" si="13"/>
        <v>142.72058036447342</v>
      </c>
      <c r="M41" s="25">
        <f t="shared" si="14"/>
        <v>173.96805920225097</v>
      </c>
      <c r="N41" s="25">
        <f t="shared" si="7"/>
        <v>81.46805920225097</v>
      </c>
      <c r="O41" s="25">
        <f t="shared" si="8"/>
        <v>-47.25874449568871</v>
      </c>
      <c r="P41" s="25">
        <f t="shared" si="9"/>
        <v>3660196.9638387314</v>
      </c>
      <c r="Q41" s="25">
        <f t="shared" si="10"/>
        <v>-2123240.8727023024</v>
      </c>
      <c r="R41" s="26">
        <f t="shared" si="1"/>
        <v>50.22058036447342</v>
      </c>
      <c r="S41" s="25">
        <f t="shared" si="2"/>
        <v>-37.353549531127371</v>
      </c>
      <c r="T41" s="35">
        <v>44928</v>
      </c>
      <c r="U41" s="26">
        <f t="shared" si="3"/>
        <v>2256310.2346150619</v>
      </c>
      <c r="V41" s="26">
        <f t="shared" si="4"/>
        <v>-1678220.2733344906</v>
      </c>
      <c r="W41" s="17"/>
      <c r="X41" s="17"/>
    </row>
    <row r="42" spans="1:24" x14ac:dyDescent="0.15">
      <c r="A42">
        <f t="shared" si="5"/>
        <v>31</v>
      </c>
      <c r="C42" s="13">
        <v>0.32616756564521399</v>
      </c>
      <c r="D42" s="13"/>
      <c r="E42" s="29">
        <f t="shared" si="15"/>
        <v>1.75</v>
      </c>
      <c r="F42" s="28">
        <f t="shared" si="0"/>
        <v>0</v>
      </c>
      <c r="G42" s="1">
        <v>37</v>
      </c>
      <c r="H42" s="21">
        <v>47119</v>
      </c>
      <c r="I42" s="16">
        <v>145.25</v>
      </c>
      <c r="J42" s="25">
        <f t="shared" si="11"/>
        <v>48.425323848401334</v>
      </c>
      <c r="K42" s="25">
        <f t="shared" si="12"/>
        <v>65.077970844805648</v>
      </c>
      <c r="L42" s="26">
        <f t="shared" si="13"/>
        <v>269.11867342310154</v>
      </c>
      <c r="M42" s="25">
        <f t="shared" si="14"/>
        <v>361.66401772859905</v>
      </c>
      <c r="N42" s="16">
        <f t="shared" si="7"/>
        <v>216.41401772859905</v>
      </c>
      <c r="O42" s="25">
        <f t="shared" si="8"/>
        <v>-96.824676151598666</v>
      </c>
      <c r="P42" s="25">
        <f t="shared" si="9"/>
        <v>10695397.170165094</v>
      </c>
      <c r="Q42" s="25">
        <f t="shared" si="10"/>
        <v>-4785172.3200881574</v>
      </c>
      <c r="R42" s="26">
        <f t="shared" si="1"/>
        <v>123.86867342310154</v>
      </c>
      <c r="S42" s="16">
        <f t="shared" si="2"/>
        <v>-80.172029155194352</v>
      </c>
      <c r="T42" s="35">
        <v>49421</v>
      </c>
      <c r="U42" s="26">
        <f t="shared" si="3"/>
        <v>6121713.7092431011</v>
      </c>
      <c r="V42" s="26">
        <f t="shared" si="4"/>
        <v>-3962181.8528788602</v>
      </c>
      <c r="W42" s="17"/>
      <c r="X42" s="17"/>
    </row>
    <row r="43" spans="1:24" x14ac:dyDescent="0.15">
      <c r="A43">
        <f t="shared" si="5"/>
        <v>28</v>
      </c>
      <c r="C43" s="13">
        <v>0.44391389509761298</v>
      </c>
      <c r="D43" s="13"/>
      <c r="E43" s="29">
        <f t="shared" si="15"/>
        <v>1.75</v>
      </c>
      <c r="F43" s="28">
        <f t="shared" si="0"/>
        <v>0</v>
      </c>
      <c r="G43" s="1">
        <v>38</v>
      </c>
      <c r="H43" s="21">
        <v>47150</v>
      </c>
      <c r="I43" s="16">
        <v>126.25</v>
      </c>
      <c r="J43" s="25">
        <f t="shared" si="11"/>
        <v>27.046592939457277</v>
      </c>
      <c r="K43" s="25">
        <f t="shared" si="12"/>
        <v>40.440122340795419</v>
      </c>
      <c r="L43" s="26">
        <f t="shared" si="13"/>
        <v>279.17854153402288</v>
      </c>
      <c r="M43" s="25">
        <f t="shared" si="14"/>
        <v>417.42833930443544</v>
      </c>
      <c r="N43" s="16">
        <f t="shared" si="7"/>
        <v>291.17833930443544</v>
      </c>
      <c r="O43" s="25">
        <f t="shared" si="8"/>
        <v>-99.20340706054273</v>
      </c>
      <c r="P43" s="25">
        <f t="shared" si="9"/>
        <v>13082060.428269675</v>
      </c>
      <c r="Q43" s="25">
        <f t="shared" si="10"/>
        <v>-4457010.672416064</v>
      </c>
      <c r="R43" s="26">
        <f t="shared" si="1"/>
        <v>152.92854153402288</v>
      </c>
      <c r="S43" s="16">
        <f t="shared" si="2"/>
        <v>-85.809877659204574</v>
      </c>
      <c r="T43" s="35">
        <v>44928</v>
      </c>
      <c r="U43" s="26">
        <f t="shared" si="3"/>
        <v>6870773.51404058</v>
      </c>
      <c r="V43" s="26">
        <f t="shared" si="4"/>
        <v>-3855266.1834727433</v>
      </c>
      <c r="W43" s="17"/>
      <c r="X43" s="17"/>
    </row>
    <row r="44" spans="1:24" x14ac:dyDescent="0.15">
      <c r="A44">
        <f t="shared" si="5"/>
        <v>31</v>
      </c>
      <c r="C44" s="13">
        <v>0.25952904040459301</v>
      </c>
      <c r="D44" s="13"/>
      <c r="E44" s="29">
        <f t="shared" si="15"/>
        <v>1.75</v>
      </c>
      <c r="F44" s="28">
        <f t="shared" si="0"/>
        <v>0</v>
      </c>
      <c r="G44" s="1">
        <v>39</v>
      </c>
      <c r="H44" s="21">
        <v>47178</v>
      </c>
      <c r="I44" s="16">
        <v>66.25</v>
      </c>
      <c r="J44" s="25">
        <f t="shared" si="11"/>
        <v>28.065838476307661</v>
      </c>
      <c r="K44" s="25">
        <f t="shared" si="12"/>
        <v>35.507023040834937</v>
      </c>
      <c r="L44" s="26">
        <f t="shared" si="13"/>
        <v>109.86678712353107</v>
      </c>
      <c r="M44" s="25">
        <f t="shared" si="14"/>
        <v>138.9961160473031</v>
      </c>
      <c r="N44" s="16">
        <f t="shared" si="7"/>
        <v>72.746116047303104</v>
      </c>
      <c r="O44" s="25">
        <f t="shared" si="8"/>
        <v>-38.184161523692339</v>
      </c>
      <c r="P44" s="25">
        <f t="shared" si="9"/>
        <v>3595185.8011737666</v>
      </c>
      <c r="Q44" s="25">
        <f t="shared" si="10"/>
        <v>-1887099.446662399</v>
      </c>
      <c r="R44" s="26">
        <f t="shared" si="1"/>
        <v>43.616787123531068</v>
      </c>
      <c r="S44" s="16">
        <f t="shared" si="2"/>
        <v>-30.742976959165063</v>
      </c>
      <c r="T44" s="35">
        <v>49421</v>
      </c>
      <c r="U44" s="26">
        <f t="shared" si="3"/>
        <v>2155585.2364320289</v>
      </c>
      <c r="V44" s="26">
        <f t="shared" si="4"/>
        <v>-1519348.6642988964</v>
      </c>
      <c r="W44" s="17"/>
      <c r="X44" s="17"/>
    </row>
    <row r="45" spans="1:24" x14ac:dyDescent="0.15">
      <c r="A45">
        <f t="shared" si="5"/>
        <v>30</v>
      </c>
      <c r="C45" s="13">
        <v>0.187090685874919</v>
      </c>
      <c r="D45" s="13"/>
      <c r="E45" s="29">
        <f t="shared" si="15"/>
        <v>1.75</v>
      </c>
      <c r="F45" s="28">
        <f t="shared" si="0"/>
        <v>0</v>
      </c>
      <c r="G45" s="1">
        <v>40</v>
      </c>
      <c r="H45" s="21">
        <v>47209</v>
      </c>
      <c r="I45" s="16">
        <v>44</v>
      </c>
      <c r="J45" s="25">
        <f t="shared" si="11"/>
        <v>23.972141895588397</v>
      </c>
      <c r="K45" s="25">
        <f t="shared" si="12"/>
        <v>28.401113032916832</v>
      </c>
      <c r="L45" s="26">
        <f t="shared" si="13"/>
        <v>64.116119966071665</v>
      </c>
      <c r="M45" s="25">
        <f t="shared" si="14"/>
        <v>75.961888525429217</v>
      </c>
      <c r="N45" s="16">
        <f t="shared" si="7"/>
        <v>31.961888525429217</v>
      </c>
      <c r="O45" s="25">
        <f t="shared" si="8"/>
        <v>-20.027858104411603</v>
      </c>
      <c r="P45" s="25">
        <f t="shared" si="9"/>
        <v>1130843.577918211</v>
      </c>
      <c r="Q45" s="25">
        <f t="shared" si="10"/>
        <v>-708605.64759218693</v>
      </c>
      <c r="R45" s="26">
        <f t="shared" si="1"/>
        <v>20.116119966071665</v>
      </c>
      <c r="S45" s="16">
        <f t="shared" si="2"/>
        <v>-15.598886967083168</v>
      </c>
      <c r="T45" s="35">
        <v>35381</v>
      </c>
      <c r="U45" s="26">
        <f t="shared" si="3"/>
        <v>711728.44051958155</v>
      </c>
      <c r="V45" s="26">
        <f t="shared" si="4"/>
        <v>-551904.21978236956</v>
      </c>
      <c r="W45" s="17"/>
      <c r="X45" s="17"/>
    </row>
    <row r="46" spans="1:24" x14ac:dyDescent="0.15">
      <c r="A46">
        <f t="shared" si="5"/>
        <v>31</v>
      </c>
      <c r="C46" s="13">
        <v>0.34922078171487703</v>
      </c>
      <c r="D46" s="13"/>
      <c r="E46" s="29">
        <f t="shared" si="15"/>
        <v>1.75</v>
      </c>
      <c r="F46" s="28">
        <f t="shared" si="0"/>
        <v>0</v>
      </c>
      <c r="G46" s="1">
        <v>41</v>
      </c>
      <c r="H46" s="21">
        <v>47239</v>
      </c>
      <c r="I46" s="16">
        <v>37.5</v>
      </c>
      <c r="J46" s="25">
        <f t="shared" si="11"/>
        <v>11.487125201849308</v>
      </c>
      <c r="K46" s="25">
        <f t="shared" si="12"/>
        <v>15.763232871915244</v>
      </c>
      <c r="L46" s="26">
        <f t="shared" si="13"/>
        <v>72.065840382977441</v>
      </c>
      <c r="M46" s="25">
        <f t="shared" si="14"/>
        <v>98.892508273894691</v>
      </c>
      <c r="N46" s="16">
        <f t="shared" si="7"/>
        <v>61.392508273894691</v>
      </c>
      <c r="O46" s="25">
        <f t="shared" si="8"/>
        <v>-26.01287479815069</v>
      </c>
      <c r="P46" s="25">
        <f t="shared" si="9"/>
        <v>2275574.7116801804</v>
      </c>
      <c r="Q46" s="25">
        <f t="shared" si="10"/>
        <v>-964193.21726825344</v>
      </c>
      <c r="R46" s="26">
        <f t="shared" si="1"/>
        <v>34.565840382977441</v>
      </c>
      <c r="S46" s="16">
        <f t="shared" si="2"/>
        <v>-21.736767128084757</v>
      </c>
      <c r="T46" s="35">
        <v>37066</v>
      </c>
      <c r="U46" s="26">
        <f t="shared" si="3"/>
        <v>1281217.4396354419</v>
      </c>
      <c r="V46" s="26">
        <f t="shared" si="4"/>
        <v>-805695.01036958967</v>
      </c>
      <c r="W46" s="17"/>
      <c r="X46" s="17"/>
    </row>
    <row r="47" spans="1:24" x14ac:dyDescent="0.15">
      <c r="A47">
        <f t="shared" si="5"/>
        <v>30</v>
      </c>
      <c r="C47" s="13">
        <v>0.20206198040277801</v>
      </c>
      <c r="D47" s="13"/>
      <c r="E47" s="29">
        <f t="shared" si="15"/>
        <v>1.75</v>
      </c>
      <c r="F47" s="28">
        <f t="shared" si="0"/>
        <v>0</v>
      </c>
      <c r="G47" s="1">
        <v>42</v>
      </c>
      <c r="H47" s="21">
        <v>47270</v>
      </c>
      <c r="I47" s="16">
        <v>49.25</v>
      </c>
      <c r="J47" s="25">
        <f t="shared" si="11"/>
        <v>25.492091222948435</v>
      </c>
      <c r="K47" s="25">
        <f t="shared" si="12"/>
        <v>30.614407306550159</v>
      </c>
      <c r="L47" s="26">
        <f t="shared" si="13"/>
        <v>73.765945587323671</v>
      </c>
      <c r="M47" s="25">
        <f t="shared" si="14"/>
        <v>88.588287395197327</v>
      </c>
      <c r="N47" s="16">
        <f t="shared" si="7"/>
        <v>39.338287395197327</v>
      </c>
      <c r="O47" s="25">
        <f t="shared" si="8"/>
        <v>-23.757908777051565</v>
      </c>
      <c r="P47" s="25">
        <f t="shared" si="9"/>
        <v>1855744.3695810386</v>
      </c>
      <c r="Q47" s="25">
        <f t="shared" si="10"/>
        <v>-1120755.5886486305</v>
      </c>
      <c r="R47" s="26">
        <f t="shared" si="1"/>
        <v>24.515945587323671</v>
      </c>
      <c r="S47" s="16">
        <f t="shared" si="2"/>
        <v>-18.635592693449841</v>
      </c>
      <c r="T47" s="35">
        <v>47174</v>
      </c>
      <c r="U47" s="26">
        <f t="shared" si="3"/>
        <v>1156515.2171364068</v>
      </c>
      <c r="V47" s="26">
        <f t="shared" si="4"/>
        <v>-879115.44972080283</v>
      </c>
      <c r="W47" s="17"/>
      <c r="X47" s="17"/>
    </row>
    <row r="48" spans="1:24" x14ac:dyDescent="0.15">
      <c r="A48">
        <f t="shared" si="5"/>
        <v>31</v>
      </c>
      <c r="C48" s="13">
        <v>0.20812526146750199</v>
      </c>
      <c r="D48" s="13"/>
      <c r="E48" s="29">
        <f t="shared" si="15"/>
        <v>1.75</v>
      </c>
      <c r="F48" s="28">
        <f t="shared" si="0"/>
        <v>0</v>
      </c>
      <c r="G48" s="1">
        <v>43</v>
      </c>
      <c r="H48" s="21">
        <v>47300</v>
      </c>
      <c r="I48" s="16">
        <v>83.5</v>
      </c>
      <c r="J48" s="25">
        <f t="shared" si="11"/>
        <v>42.327647248319067</v>
      </c>
      <c r="K48" s="25">
        <f t="shared" si="12"/>
        <v>51.112920027473386</v>
      </c>
      <c r="L48" s="26">
        <f t="shared" si="13"/>
        <v>126.45072954634173</v>
      </c>
      <c r="M48" s="25">
        <f t="shared" si="14"/>
        <v>152.69608510958528</v>
      </c>
      <c r="N48" s="16">
        <f t="shared" si="7"/>
        <v>69.196085109585283</v>
      </c>
      <c r="O48" s="25">
        <f t="shared" si="8"/>
        <v>-41.172352751680933</v>
      </c>
      <c r="P48" s="25">
        <f t="shared" si="9"/>
        <v>3264256.1189595764</v>
      </c>
      <c r="Q48" s="25">
        <f t="shared" si="10"/>
        <v>-1942264.5687077963</v>
      </c>
      <c r="R48" s="26">
        <f t="shared" si="1"/>
        <v>42.950729546341734</v>
      </c>
      <c r="S48" s="16">
        <f t="shared" si="2"/>
        <v>-32.387079972526614</v>
      </c>
      <c r="T48" s="35">
        <v>47174</v>
      </c>
      <c r="U48" s="26">
        <f t="shared" si="3"/>
        <v>2026157.7156191249</v>
      </c>
      <c r="V48" s="26">
        <f t="shared" si="4"/>
        <v>-1527828.1106239704</v>
      </c>
      <c r="W48" s="17"/>
      <c r="X48" s="17"/>
    </row>
    <row r="49" spans="1:24" x14ac:dyDescent="0.15">
      <c r="A49">
        <f t="shared" si="5"/>
        <v>31</v>
      </c>
      <c r="C49" s="13">
        <v>0.27200637383052401</v>
      </c>
      <c r="D49" s="13"/>
      <c r="E49" s="29">
        <f t="shared" si="15"/>
        <v>1.75</v>
      </c>
      <c r="F49" s="28">
        <f t="shared" si="0"/>
        <v>0</v>
      </c>
      <c r="G49" s="1">
        <v>44</v>
      </c>
      <c r="H49" s="21">
        <v>47331</v>
      </c>
      <c r="I49" s="16">
        <v>65.099999999999994</v>
      </c>
      <c r="J49" s="25">
        <f t="shared" si="11"/>
        <v>26.384591744577953</v>
      </c>
      <c r="K49" s="25">
        <f t="shared" si="12"/>
        <v>33.75957772951616</v>
      </c>
      <c r="L49" s="26">
        <f t="shared" si="13"/>
        <v>110.28929508544587</v>
      </c>
      <c r="M49" s="25">
        <f t="shared" si="14"/>
        <v>141.11721212953006</v>
      </c>
      <c r="N49" s="16">
        <f t="shared" si="7"/>
        <v>76.017212129530066</v>
      </c>
      <c r="O49" s="25">
        <f t="shared" si="8"/>
        <v>-38.715408255422041</v>
      </c>
      <c r="P49" s="25">
        <f t="shared" si="9"/>
        <v>3927581.2990964297</v>
      </c>
      <c r="Q49" s="25">
        <f t="shared" si="10"/>
        <v>-2000308.9983328907</v>
      </c>
      <c r="R49" s="26">
        <f t="shared" si="1"/>
        <v>45.189295085445877</v>
      </c>
      <c r="S49" s="16">
        <f t="shared" si="2"/>
        <v>-31.340422270483835</v>
      </c>
      <c r="T49" s="35">
        <v>51667</v>
      </c>
      <c r="U49" s="26">
        <f t="shared" si="3"/>
        <v>2334795.3091797321</v>
      </c>
      <c r="V49" s="26">
        <f t="shared" si="4"/>
        <v>-1619265.5974490882</v>
      </c>
      <c r="W49" s="17"/>
      <c r="X49" s="17"/>
    </row>
    <row r="50" spans="1:24" x14ac:dyDescent="0.15">
      <c r="A50">
        <f t="shared" si="5"/>
        <v>30</v>
      </c>
      <c r="C50" s="13">
        <v>0.20478206013491301</v>
      </c>
      <c r="D50" s="13"/>
      <c r="E50" s="29">
        <f t="shared" si="15"/>
        <v>1.75</v>
      </c>
      <c r="F50" s="28">
        <f t="shared" si="0"/>
        <v>0</v>
      </c>
      <c r="G50" s="1">
        <v>45</v>
      </c>
      <c r="H50" s="21">
        <v>47362</v>
      </c>
      <c r="I50" s="16">
        <v>40</v>
      </c>
      <c r="J50" s="25">
        <f t="shared" si="11"/>
        <v>20.511504476747437</v>
      </c>
      <c r="K50" s="25">
        <f t="shared" si="12"/>
        <v>24.693825833213843</v>
      </c>
      <c r="L50" s="26">
        <f t="shared" si="13"/>
        <v>60.208780721496765</v>
      </c>
      <c r="M50" s="25">
        <f t="shared" si="14"/>
        <v>72.485426237372124</v>
      </c>
      <c r="N50" s="16">
        <f t="shared" si="7"/>
        <v>32.485426237372124</v>
      </c>
      <c r="O50" s="25">
        <f t="shared" si="8"/>
        <v>-19.488495523252563</v>
      </c>
      <c r="P50" s="25">
        <f t="shared" si="9"/>
        <v>1039890.9792845191</v>
      </c>
      <c r="Q50" s="25">
        <f t="shared" si="10"/>
        <v>-623846.23019483779</v>
      </c>
      <c r="R50" s="26">
        <f t="shared" si="1"/>
        <v>20.208780721496765</v>
      </c>
      <c r="S50" s="16">
        <f t="shared" si="2"/>
        <v>-15.306174166786157</v>
      </c>
      <c r="T50" s="35">
        <v>32011</v>
      </c>
      <c r="U50" s="26">
        <f t="shared" si="3"/>
        <v>646903.27967583295</v>
      </c>
      <c r="V50" s="26">
        <f t="shared" si="4"/>
        <v>-489965.94125299167</v>
      </c>
      <c r="W50" s="17"/>
      <c r="X50" s="17"/>
    </row>
    <row r="51" spans="1:24" x14ac:dyDescent="0.15">
      <c r="A51">
        <f t="shared" si="5"/>
        <v>31</v>
      </c>
      <c r="C51" s="13">
        <v>0.31545939835842501</v>
      </c>
      <c r="D51" s="13"/>
      <c r="E51" s="29">
        <f t="shared" si="15"/>
        <v>1.75</v>
      </c>
      <c r="F51" s="28">
        <f t="shared" si="0"/>
        <v>0</v>
      </c>
      <c r="G51" s="1">
        <v>46</v>
      </c>
      <c r="H51" s="21">
        <v>47392</v>
      </c>
      <c r="I51" s="16">
        <v>40</v>
      </c>
      <c r="J51" s="25">
        <f t="shared" si="11"/>
        <v>13.866329453376897</v>
      </c>
      <c r="K51" s="25">
        <f t="shared" si="12"/>
        <v>18.454778745391774</v>
      </c>
      <c r="L51" s="26">
        <f t="shared" si="13"/>
        <v>72.841434948067715</v>
      </c>
      <c r="M51" s="25">
        <f t="shared" si="14"/>
        <v>96.9450906228154</v>
      </c>
      <c r="N51" s="16">
        <f t="shared" si="7"/>
        <v>56.9450906228154</v>
      </c>
      <c r="O51" s="25">
        <f t="shared" si="8"/>
        <v>-26.133670546623101</v>
      </c>
      <c r="P51" s="25">
        <f t="shared" si="9"/>
        <v>2206622.261634097</v>
      </c>
      <c r="Q51" s="25">
        <f t="shared" si="10"/>
        <v>-1012679.7336816451</v>
      </c>
      <c r="R51" s="26">
        <f t="shared" si="1"/>
        <v>32.841434948067715</v>
      </c>
      <c r="S51" s="16">
        <f t="shared" si="2"/>
        <v>-21.545221254608226</v>
      </c>
      <c r="T51" s="35">
        <v>38750</v>
      </c>
      <c r="U51" s="26">
        <f t="shared" si="3"/>
        <v>1272605.604237624</v>
      </c>
      <c r="V51" s="26">
        <f t="shared" si="4"/>
        <v>-834877.32361606869</v>
      </c>
      <c r="W51" s="17"/>
      <c r="X51" s="17"/>
    </row>
    <row r="52" spans="1:24" x14ac:dyDescent="0.15">
      <c r="A52">
        <f t="shared" si="5"/>
        <v>30</v>
      </c>
      <c r="C52" s="13">
        <v>0.32441559252968599</v>
      </c>
      <c r="D52" s="13"/>
      <c r="E52" s="29">
        <f t="shared" si="15"/>
        <v>1.75</v>
      </c>
      <c r="F52" s="28">
        <f t="shared" si="0"/>
        <v>0</v>
      </c>
      <c r="G52" s="1">
        <v>47</v>
      </c>
      <c r="H52" s="21">
        <v>47423</v>
      </c>
      <c r="I52" s="16">
        <v>55.25</v>
      </c>
      <c r="J52" s="25">
        <f t="shared" si="11"/>
        <v>18.538177928733777</v>
      </c>
      <c r="K52" s="25">
        <f t="shared" si="12"/>
        <v>24.873622331692825</v>
      </c>
      <c r="L52" s="26">
        <f t="shared" si="13"/>
        <v>102.07922206712513</v>
      </c>
      <c r="M52" s="25">
        <f t="shared" si="14"/>
        <v>136.96491787767101</v>
      </c>
      <c r="N52" s="16">
        <f t="shared" si="7"/>
        <v>81.714917877671013</v>
      </c>
      <c r="O52" s="25">
        <f t="shared" si="8"/>
        <v>-36.711822071266226</v>
      </c>
      <c r="P52" s="25">
        <f t="shared" si="9"/>
        <v>3854819.5359612522</v>
      </c>
      <c r="Q52" s="25">
        <f t="shared" si="10"/>
        <v>-1731843.494389913</v>
      </c>
      <c r="R52" s="26">
        <f t="shared" si="1"/>
        <v>46.82922206712513</v>
      </c>
      <c r="S52" s="16">
        <f t="shared" si="2"/>
        <v>-30.376377668307175</v>
      </c>
      <c r="T52" s="35">
        <v>47174</v>
      </c>
      <c r="U52" s="26">
        <f t="shared" si="3"/>
        <v>2209121.721794561</v>
      </c>
      <c r="V52" s="26">
        <f t="shared" si="4"/>
        <v>-1432975.2401247227</v>
      </c>
      <c r="W52" s="17"/>
      <c r="X52" s="17"/>
    </row>
    <row r="53" spans="1:24" x14ac:dyDescent="0.15">
      <c r="A53">
        <f t="shared" si="5"/>
        <v>31</v>
      </c>
      <c r="C53" s="13">
        <v>0.22277103390997099</v>
      </c>
      <c r="D53" s="13"/>
      <c r="E53" s="29">
        <f t="shared" si="15"/>
        <v>1.75</v>
      </c>
      <c r="F53" s="28">
        <f t="shared" si="0"/>
        <v>0</v>
      </c>
      <c r="G53" s="1">
        <v>48</v>
      </c>
      <c r="H53" s="21">
        <v>47453</v>
      </c>
      <c r="I53" s="16">
        <v>90.75</v>
      </c>
      <c r="J53" s="25">
        <f t="shared" si="11"/>
        <v>43.730145238471422</v>
      </c>
      <c r="K53" s="25">
        <f t="shared" si="12"/>
        <v>53.512007890736029</v>
      </c>
      <c r="L53" s="26">
        <f t="shared" si="13"/>
        <v>141.09927735064207</v>
      </c>
      <c r="M53" s="25">
        <f t="shared" si="14"/>
        <v>172.66134383478297</v>
      </c>
      <c r="N53" s="16">
        <f t="shared" si="7"/>
        <v>81.911343834782969</v>
      </c>
      <c r="O53" s="25">
        <f t="shared" si="8"/>
        <v>-47.019854761528578</v>
      </c>
      <c r="P53" s="25">
        <f t="shared" si="9"/>
        <v>3680112.8558091293</v>
      </c>
      <c r="Q53" s="25">
        <f t="shared" si="10"/>
        <v>-2112508.0347259562</v>
      </c>
      <c r="R53" s="26">
        <f t="shared" si="1"/>
        <v>50.349277350642069</v>
      </c>
      <c r="S53" s="16">
        <f t="shared" si="2"/>
        <v>-37.237992109263971</v>
      </c>
      <c r="T53" s="35">
        <v>44928</v>
      </c>
      <c r="U53" s="26">
        <f t="shared" si="3"/>
        <v>2262092.3328096471</v>
      </c>
      <c r="V53" s="26">
        <f t="shared" si="4"/>
        <v>-1673028.5094850117</v>
      </c>
      <c r="W53" s="17"/>
      <c r="X53" s="17"/>
    </row>
    <row r="54" spans="1:24" x14ac:dyDescent="0.15">
      <c r="A54">
        <f t="shared" si="5"/>
        <v>31</v>
      </c>
      <c r="C54" s="13">
        <v>0.32858722008401198</v>
      </c>
      <c r="D54" s="13"/>
      <c r="E54" s="29">
        <f t="shared" si="15"/>
        <v>1.75</v>
      </c>
      <c r="F54" s="28">
        <f t="shared" si="0"/>
        <v>0</v>
      </c>
      <c r="G54" s="1">
        <v>49</v>
      </c>
      <c r="H54" s="21">
        <v>47484</v>
      </c>
      <c r="I54" s="16">
        <v>144.25</v>
      </c>
      <c r="J54" s="25">
        <f t="shared" si="11"/>
        <v>47.668464598215742</v>
      </c>
      <c r="K54" s="25">
        <f t="shared" si="12"/>
        <v>64.201455586726922</v>
      </c>
      <c r="L54" s="26">
        <f t="shared" si="13"/>
        <v>268.30467868598879</v>
      </c>
      <c r="M54" s="25">
        <f t="shared" si="14"/>
        <v>361.36156382545443</v>
      </c>
      <c r="N54" s="16">
        <f t="shared" si="7"/>
        <v>217.11156382545443</v>
      </c>
      <c r="O54" s="25">
        <f t="shared" si="8"/>
        <v>-96.581535401784265</v>
      </c>
      <c r="P54" s="25">
        <f t="shared" si="9"/>
        <v>10729870.595817784</v>
      </c>
      <c r="Q54" s="25">
        <f t="shared" si="10"/>
        <v>-4773156.0610915804</v>
      </c>
      <c r="R54" s="26">
        <f t="shared" si="1"/>
        <v>124.05467868598879</v>
      </c>
      <c r="S54" s="16">
        <f t="shared" si="2"/>
        <v>-80.048544413273078</v>
      </c>
      <c r="T54" s="35">
        <v>49421</v>
      </c>
      <c r="U54" s="26">
        <f t="shared" si="3"/>
        <v>6130906.2753402516</v>
      </c>
      <c r="V54" s="26">
        <f t="shared" si="4"/>
        <v>-3956079.1134483689</v>
      </c>
      <c r="W54" s="17"/>
      <c r="X54" s="17"/>
    </row>
    <row r="55" spans="1:24" x14ac:dyDescent="0.15">
      <c r="A55">
        <f t="shared" si="5"/>
        <v>28</v>
      </c>
      <c r="C55" s="13">
        <v>0.44789491535035098</v>
      </c>
      <c r="D55" s="13"/>
      <c r="E55" s="29">
        <f t="shared" si="15"/>
        <v>1.75</v>
      </c>
      <c r="F55" s="28">
        <f t="shared" si="0"/>
        <v>0</v>
      </c>
      <c r="G55" s="1">
        <v>50</v>
      </c>
      <c r="H55" s="21">
        <v>47515</v>
      </c>
      <c r="I55" s="16">
        <v>125.25</v>
      </c>
      <c r="J55" s="25">
        <f t="shared" si="11"/>
        <v>26.422911532068284</v>
      </c>
      <c r="K55" s="25">
        <f t="shared" si="12"/>
        <v>39.650372846254015</v>
      </c>
      <c r="L55" s="26">
        <f t="shared" si="13"/>
        <v>278.51053376415319</v>
      </c>
      <c r="M55" s="25">
        <f t="shared" si="14"/>
        <v>417.93450702642849</v>
      </c>
      <c r="N55" s="16">
        <f t="shared" si="7"/>
        <v>292.68450702642849</v>
      </c>
      <c r="O55" s="25">
        <f t="shared" si="8"/>
        <v>-98.827088467931716</v>
      </c>
      <c r="P55" s="25">
        <f t="shared" si="9"/>
        <v>13149729.53168338</v>
      </c>
      <c r="Q55" s="25">
        <f t="shared" si="10"/>
        <v>-4440103.4306872366</v>
      </c>
      <c r="R55" s="26">
        <f t="shared" si="1"/>
        <v>153.26053376415319</v>
      </c>
      <c r="S55" s="16">
        <f t="shared" si="2"/>
        <v>-85.599627153745985</v>
      </c>
      <c r="T55" s="35">
        <v>44928</v>
      </c>
      <c r="U55" s="26">
        <f t="shared" si="3"/>
        <v>6885689.2609558748</v>
      </c>
      <c r="V55" s="26">
        <f t="shared" si="4"/>
        <v>-3845820.0487634996</v>
      </c>
      <c r="W55" s="17"/>
      <c r="X55" s="17"/>
    </row>
    <row r="56" spans="1:24" x14ac:dyDescent="0.15">
      <c r="A56">
        <f t="shared" si="5"/>
        <v>31</v>
      </c>
      <c r="C56" s="13">
        <v>0.26375971098385198</v>
      </c>
      <c r="D56" s="13"/>
      <c r="E56" s="29">
        <f t="shared" si="15"/>
        <v>1.75</v>
      </c>
      <c r="F56" s="28">
        <f t="shared" si="0"/>
        <v>0</v>
      </c>
      <c r="G56" s="1">
        <v>51</v>
      </c>
      <c r="H56" s="21">
        <v>47543</v>
      </c>
      <c r="I56" s="16">
        <v>65.25</v>
      </c>
      <c r="J56" s="25">
        <f t="shared" si="11"/>
        <v>27.231281805935836</v>
      </c>
      <c r="K56" s="25">
        <f t="shared" si="12"/>
        <v>34.583526977204798</v>
      </c>
      <c r="L56" s="26">
        <f t="shared" si="13"/>
        <v>108.99789265977846</v>
      </c>
      <c r="M56" s="25">
        <f t="shared" si="14"/>
        <v>138.42651947570988</v>
      </c>
      <c r="N56" s="16">
        <f t="shared" si="7"/>
        <v>73.176519475709881</v>
      </c>
      <c r="O56" s="25">
        <f t="shared" si="8"/>
        <v>-38.018718194064164</v>
      </c>
      <c r="P56" s="25">
        <f t="shared" si="9"/>
        <v>3452029.1297471379</v>
      </c>
      <c r="Q56" s="25">
        <f t="shared" si="10"/>
        <v>-1793495.0120867828</v>
      </c>
      <c r="R56" s="26">
        <f t="shared" si="1"/>
        <v>43.747892659778458</v>
      </c>
      <c r="S56" s="16">
        <f t="shared" si="2"/>
        <v>-30.666473022795202</v>
      </c>
      <c r="T56" s="35">
        <v>47174</v>
      </c>
      <c r="U56" s="26">
        <f t="shared" si="3"/>
        <v>2063763.088332389</v>
      </c>
      <c r="V56" s="26">
        <f t="shared" si="4"/>
        <v>-1446660.1983773408</v>
      </c>
      <c r="W56" s="17"/>
      <c r="X56" s="17"/>
    </row>
    <row r="57" spans="1:24" x14ac:dyDescent="0.15">
      <c r="A57">
        <f t="shared" si="5"/>
        <v>30</v>
      </c>
      <c r="C57" s="13">
        <v>0.19153025705802601</v>
      </c>
      <c r="D57" s="13"/>
      <c r="E57" s="29">
        <f t="shared" si="15"/>
        <v>1.75</v>
      </c>
      <c r="F57" s="28">
        <f t="shared" si="0"/>
        <v>0</v>
      </c>
      <c r="G57" s="1">
        <v>52</v>
      </c>
      <c r="H57" s="21">
        <v>47574</v>
      </c>
      <c r="I57" s="16">
        <v>43</v>
      </c>
      <c r="J57" s="25">
        <f t="shared" si="11"/>
        <v>23.074958728055982</v>
      </c>
      <c r="K57" s="25">
        <f t="shared" si="12"/>
        <v>27.44837399713143</v>
      </c>
      <c r="L57" s="26">
        <f t="shared" si="13"/>
        <v>63.174237361924284</v>
      </c>
      <c r="M57" s="25">
        <f t="shared" si="14"/>
        <v>75.147700783763867</v>
      </c>
      <c r="N57" s="16">
        <f t="shared" si="7"/>
        <v>32.147700783763867</v>
      </c>
      <c r="O57" s="25">
        <f t="shared" si="8"/>
        <v>-19.925041271944018</v>
      </c>
      <c r="P57" s="25">
        <f t="shared" si="9"/>
        <v>1191586.6772509916</v>
      </c>
      <c r="Q57" s="25">
        <f t="shared" si="10"/>
        <v>-738541.57978587691</v>
      </c>
      <c r="R57" s="26">
        <f t="shared" si="1"/>
        <v>20.174237361924284</v>
      </c>
      <c r="S57" s="16">
        <f t="shared" si="2"/>
        <v>-15.55162600286857</v>
      </c>
      <c r="T57" s="35">
        <v>37066</v>
      </c>
      <c r="U57" s="26">
        <f t="shared" si="3"/>
        <v>747778.28205708554</v>
      </c>
      <c r="V57" s="26">
        <f t="shared" si="4"/>
        <v>-576436.5694223264</v>
      </c>
      <c r="W57" s="17"/>
      <c r="X57" s="17"/>
    </row>
    <row r="58" spans="1:24" x14ac:dyDescent="0.15">
      <c r="A58">
        <f t="shared" si="5"/>
        <v>31</v>
      </c>
      <c r="C58" s="13">
        <v>0.35847604983947501</v>
      </c>
      <c r="D58" s="13"/>
      <c r="E58" s="29">
        <f t="shared" si="15"/>
        <v>1.75</v>
      </c>
      <c r="F58" s="28">
        <f t="shared" si="0"/>
        <v>0</v>
      </c>
      <c r="G58" s="1">
        <v>53</v>
      </c>
      <c r="H58" s="21">
        <v>47604</v>
      </c>
      <c r="I58" s="16">
        <v>36.5</v>
      </c>
      <c r="J58" s="25">
        <f t="shared" si="11"/>
        <v>10.804249070509707</v>
      </c>
      <c r="K58" s="25">
        <f t="shared" si="12"/>
        <v>14.951022142210979</v>
      </c>
      <c r="L58" s="26">
        <f t="shared" si="13"/>
        <v>71.162142170502591</v>
      </c>
      <c r="M58" s="25">
        <f t="shared" si="14"/>
        <v>98.474845992064544</v>
      </c>
      <c r="N58" s="16">
        <f t="shared" si="7"/>
        <v>61.974845992064544</v>
      </c>
      <c r="O58" s="25">
        <f t="shared" si="8"/>
        <v>-25.695750929490295</v>
      </c>
      <c r="P58" s="25">
        <f t="shared" si="9"/>
        <v>2297159.6415418643</v>
      </c>
      <c r="Q58" s="25">
        <f t="shared" si="10"/>
        <v>-952438.70395248733</v>
      </c>
      <c r="R58" s="26">
        <f t="shared" si="1"/>
        <v>34.662142170502591</v>
      </c>
      <c r="S58" s="16">
        <f t="shared" si="2"/>
        <v>-21.548977857789019</v>
      </c>
      <c r="T58" s="35">
        <v>37066</v>
      </c>
      <c r="U58" s="26">
        <f t="shared" si="3"/>
        <v>1284786.9616918489</v>
      </c>
      <c r="V58" s="26">
        <f t="shared" si="4"/>
        <v>-798734.41327680775</v>
      </c>
      <c r="W58" s="17"/>
      <c r="X58" s="17"/>
    </row>
    <row r="59" spans="1:24" x14ac:dyDescent="0.15">
      <c r="A59">
        <f t="shared" si="5"/>
        <v>30</v>
      </c>
      <c r="C59" s="13">
        <v>0.20640747309935401</v>
      </c>
      <c r="D59" s="13"/>
      <c r="E59" s="29">
        <f t="shared" si="15"/>
        <v>1.75</v>
      </c>
      <c r="F59" s="28">
        <f t="shared" si="0"/>
        <v>0</v>
      </c>
      <c r="G59" s="1">
        <v>54</v>
      </c>
      <c r="H59" s="21">
        <v>47635</v>
      </c>
      <c r="I59" s="16">
        <v>48.25</v>
      </c>
      <c r="J59" s="25">
        <f t="shared" si="11"/>
        <v>24.603961753529035</v>
      </c>
      <c r="K59" s="25">
        <f t="shared" si="12"/>
        <v>29.664400794748193</v>
      </c>
      <c r="L59" s="26">
        <f t="shared" si="13"/>
        <v>72.841574934653522</v>
      </c>
      <c r="M59" s="25">
        <f t="shared" si="14"/>
        <v>87.823322724532943</v>
      </c>
      <c r="N59" s="16">
        <f t="shared" si="7"/>
        <v>39.573322724532943</v>
      </c>
      <c r="O59" s="25">
        <f t="shared" si="8"/>
        <v>-23.646038246470965</v>
      </c>
      <c r="P59" s="25">
        <f t="shared" si="9"/>
        <v>1777950.2433678161</v>
      </c>
      <c r="Q59" s="25">
        <f t="shared" si="10"/>
        <v>-1062369.2063374475</v>
      </c>
      <c r="R59" s="26">
        <f t="shared" si="1"/>
        <v>24.591574934653522</v>
      </c>
      <c r="S59" s="16">
        <f t="shared" si="2"/>
        <v>-18.585599205251807</v>
      </c>
      <c r="T59" s="35">
        <v>44928</v>
      </c>
      <c r="U59" s="26">
        <f t="shared" si="3"/>
        <v>1104850.2786641135</v>
      </c>
      <c r="V59" s="26">
        <f t="shared" si="4"/>
        <v>-835013.80109355319</v>
      </c>
      <c r="W59" s="17"/>
      <c r="X59" s="17"/>
    </row>
    <row r="60" spans="1:24" x14ac:dyDescent="0.15">
      <c r="A60">
        <f t="shared" si="5"/>
        <v>31</v>
      </c>
      <c r="C60" s="13">
        <v>0.21075682458359901</v>
      </c>
      <c r="D60" s="13"/>
      <c r="E60" s="29">
        <f t="shared" si="15"/>
        <v>1.75</v>
      </c>
      <c r="F60" s="28">
        <f t="shared" si="0"/>
        <v>0</v>
      </c>
      <c r="G60" s="1">
        <v>55</v>
      </c>
      <c r="H60" s="21">
        <v>47665</v>
      </c>
      <c r="I60" s="16">
        <v>82.5</v>
      </c>
      <c r="J60" s="25">
        <f t="shared" si="11"/>
        <v>41.442890221426836</v>
      </c>
      <c r="K60" s="25">
        <f t="shared" si="12"/>
        <v>50.164008875567198</v>
      </c>
      <c r="L60" s="26">
        <f t="shared" si="13"/>
        <v>125.53272773607736</v>
      </c>
      <c r="M60" s="25">
        <f t="shared" si="14"/>
        <v>151.94946189035215</v>
      </c>
      <c r="N60" s="16">
        <f t="shared" si="7"/>
        <v>69.449461890352154</v>
      </c>
      <c r="O60" s="25">
        <f t="shared" si="8"/>
        <v>-41.057109778573164</v>
      </c>
      <c r="P60" s="25">
        <f t="shared" si="9"/>
        <v>3432261.8560830937</v>
      </c>
      <c r="Q60" s="25">
        <f t="shared" si="10"/>
        <v>-2029083.4223668643</v>
      </c>
      <c r="R60" s="26">
        <f t="shared" si="1"/>
        <v>43.032727736077362</v>
      </c>
      <c r="S60" s="16">
        <f t="shared" si="2"/>
        <v>-32.335991124432802</v>
      </c>
      <c r="T60" s="35">
        <v>49421</v>
      </c>
      <c r="U60" s="26">
        <f t="shared" si="3"/>
        <v>2126720.4374446794</v>
      </c>
      <c r="V60" s="26">
        <f t="shared" si="4"/>
        <v>-1598077.0173605934</v>
      </c>
      <c r="W60" s="17"/>
      <c r="X60" s="17"/>
    </row>
    <row r="61" spans="1:24" x14ac:dyDescent="0.15">
      <c r="A61">
        <f t="shared" si="5"/>
        <v>31</v>
      </c>
      <c r="C61" s="13">
        <v>0.27626370078495099</v>
      </c>
      <c r="D61" s="13"/>
      <c r="E61" s="29">
        <f t="shared" si="15"/>
        <v>1.75</v>
      </c>
      <c r="F61" s="28">
        <f t="shared" si="0"/>
        <v>0</v>
      </c>
      <c r="G61" s="1">
        <v>56</v>
      </c>
      <c r="H61" s="21">
        <v>47696</v>
      </c>
      <c r="I61" s="16">
        <v>64.099999999999994</v>
      </c>
      <c r="J61" s="25">
        <f t="shared" si="11"/>
        <v>25.58830097937782</v>
      </c>
      <c r="K61" s="25">
        <f t="shared" si="12"/>
        <v>32.867261894873408</v>
      </c>
      <c r="L61" s="26">
        <f t="shared" si="13"/>
        <v>109.38226748364555</v>
      </c>
      <c r="M61" s="25">
        <f t="shared" si="14"/>
        <v>140.49762955881445</v>
      </c>
      <c r="N61" s="16">
        <f t="shared" si="7"/>
        <v>76.397629558814458</v>
      </c>
      <c r="O61" s="25">
        <f t="shared" si="8"/>
        <v>-38.511699020622174</v>
      </c>
      <c r="P61" s="25">
        <f t="shared" si="9"/>
        <v>3775647.2504261695</v>
      </c>
      <c r="Q61" s="25">
        <f t="shared" si="10"/>
        <v>-1903286.6772981684</v>
      </c>
      <c r="R61" s="26">
        <f t="shared" si="1"/>
        <v>45.282267483645555</v>
      </c>
      <c r="S61" s="16">
        <f t="shared" si="2"/>
        <v>-31.232738105126586</v>
      </c>
      <c r="T61" s="35">
        <v>49421</v>
      </c>
      <c r="U61" s="26">
        <f t="shared" si="3"/>
        <v>2237894.9413092472</v>
      </c>
      <c r="V61" s="26">
        <f t="shared" si="4"/>
        <v>-1543553.149893461</v>
      </c>
      <c r="W61" s="17"/>
      <c r="X61" s="17"/>
    </row>
    <row r="62" spans="1:24" x14ac:dyDescent="0.15">
      <c r="A62">
        <f t="shared" si="5"/>
        <v>30</v>
      </c>
      <c r="C62" s="13">
        <v>0.21004932506034199</v>
      </c>
      <c r="D62" s="13"/>
      <c r="E62" s="29">
        <f t="shared" si="15"/>
        <v>1.75</v>
      </c>
      <c r="F62" s="28">
        <f t="shared" si="0"/>
        <v>0</v>
      </c>
      <c r="G62" s="1">
        <v>57</v>
      </c>
      <c r="H62" s="21">
        <v>47727</v>
      </c>
      <c r="I62" s="16">
        <v>39</v>
      </c>
      <c r="J62" s="25">
        <f t="shared" si="11"/>
        <v>19.639069502719103</v>
      </c>
      <c r="K62" s="25">
        <f t="shared" si="12"/>
        <v>23.756621320600019</v>
      </c>
      <c r="L62" s="26">
        <f t="shared" si="13"/>
        <v>59.266886878242573</v>
      </c>
      <c r="M62" s="25">
        <f t="shared" si="14"/>
        <v>71.692856335291594</v>
      </c>
      <c r="N62" s="16">
        <f t="shared" si="7"/>
        <v>32.692856335291594</v>
      </c>
      <c r="O62" s="25">
        <f t="shared" si="8"/>
        <v>-19.360930497280897</v>
      </c>
      <c r="P62" s="25">
        <f t="shared" si="9"/>
        <v>1101618.4870739856</v>
      </c>
      <c r="Q62" s="25">
        <f t="shared" si="10"/>
        <v>-652385.9140363771</v>
      </c>
      <c r="R62" s="26">
        <f t="shared" si="1"/>
        <v>20.266886878242573</v>
      </c>
      <c r="S62" s="16">
        <f t="shared" si="2"/>
        <v>-15.243378679399981</v>
      </c>
      <c r="T62" s="35">
        <v>33696</v>
      </c>
      <c r="U62" s="26">
        <f t="shared" si="3"/>
        <v>682913.02024926175</v>
      </c>
      <c r="V62" s="26">
        <f t="shared" si="4"/>
        <v>-513640.88798106177</v>
      </c>
      <c r="W62" s="17"/>
      <c r="X62" s="17"/>
    </row>
    <row r="63" spans="1:24" x14ac:dyDescent="0.15">
      <c r="A63">
        <f t="shared" si="5"/>
        <v>31</v>
      </c>
      <c r="C63" s="13">
        <v>0.32327447549514399</v>
      </c>
      <c r="D63" s="13"/>
      <c r="E63" s="29">
        <f t="shared" si="15"/>
        <v>1.75</v>
      </c>
      <c r="F63" s="28">
        <f t="shared" si="0"/>
        <v>0</v>
      </c>
      <c r="G63" s="1">
        <v>58</v>
      </c>
      <c r="H63" s="21">
        <v>47757</v>
      </c>
      <c r="I63" s="16">
        <v>39</v>
      </c>
      <c r="J63" s="25">
        <f t="shared" si="11"/>
        <v>13.140375012909415</v>
      </c>
      <c r="K63" s="25">
        <f t="shared" si="12"/>
        <v>17.612891878884362</v>
      </c>
      <c r="L63" s="26">
        <f t="shared" si="13"/>
        <v>71.923711073447194</v>
      </c>
      <c r="M63" s="25">
        <f t="shared" si="14"/>
        <v>96.403987361108378</v>
      </c>
      <c r="N63" s="16">
        <f t="shared" si="7"/>
        <v>57.403987361108378</v>
      </c>
      <c r="O63" s="25">
        <f t="shared" si="8"/>
        <v>-25.859624987090584</v>
      </c>
      <c r="P63" s="25">
        <f t="shared" si="9"/>
        <v>2224404.5102429497</v>
      </c>
      <c r="Q63" s="25">
        <f t="shared" si="10"/>
        <v>-1002060.4682497601</v>
      </c>
      <c r="R63" s="26">
        <f t="shared" si="1"/>
        <v>32.923711073447194</v>
      </c>
      <c r="S63" s="16">
        <f t="shared" si="2"/>
        <v>-21.387108121115638</v>
      </c>
      <c r="T63" s="35">
        <v>38750</v>
      </c>
      <c r="U63" s="26">
        <f t="shared" si="3"/>
        <v>1275793.8040960787</v>
      </c>
      <c r="V63" s="26">
        <f t="shared" si="4"/>
        <v>-828750.43969323102</v>
      </c>
      <c r="W63" s="17"/>
      <c r="X63" s="17"/>
    </row>
    <row r="64" spans="1:24" x14ac:dyDescent="0.15">
      <c r="A64">
        <f t="shared" si="5"/>
        <v>30</v>
      </c>
      <c r="C64" s="13">
        <v>0.33029793826201398</v>
      </c>
      <c r="D64" s="13"/>
      <c r="E64" s="29">
        <f t="shared" si="15"/>
        <v>1.75</v>
      </c>
      <c r="F64" s="28">
        <f t="shared" si="0"/>
        <v>0</v>
      </c>
      <c r="G64" s="1">
        <v>59</v>
      </c>
      <c r="H64" s="21">
        <v>47788</v>
      </c>
      <c r="I64" s="16">
        <v>54.25</v>
      </c>
      <c r="J64" s="25">
        <f t="shared" si="11"/>
        <v>17.815447689782555</v>
      </c>
      <c r="K64" s="25">
        <f t="shared" si="12"/>
        <v>24.031655808718853</v>
      </c>
      <c r="L64" s="26">
        <f t="shared" si="13"/>
        <v>101.18138098186016</v>
      </c>
      <c r="M64" s="25">
        <f t="shared" si="14"/>
        <v>136.48582760013667</v>
      </c>
      <c r="N64" s="16">
        <f t="shared" si="7"/>
        <v>82.235827600136673</v>
      </c>
      <c r="O64" s="25">
        <f t="shared" si="8"/>
        <v>-36.434552310217441</v>
      </c>
      <c r="P64" s="25">
        <f t="shared" si="9"/>
        <v>3694691.2624189407</v>
      </c>
      <c r="Q64" s="25">
        <f t="shared" si="10"/>
        <v>-1636931.5661934493</v>
      </c>
      <c r="R64" s="26">
        <f t="shared" si="1"/>
        <v>46.931380981860158</v>
      </c>
      <c r="S64" s="16">
        <f t="shared" si="2"/>
        <v>-30.218344191281147</v>
      </c>
      <c r="T64" s="35">
        <v>44928</v>
      </c>
      <c r="U64" s="26">
        <f t="shared" si="3"/>
        <v>2108533.0847530132</v>
      </c>
      <c r="V64" s="26">
        <f t="shared" si="4"/>
        <v>-1357649.7678258794</v>
      </c>
      <c r="W64" s="17"/>
      <c r="X64" s="17"/>
    </row>
    <row r="65" spans="1:24" x14ac:dyDescent="0.15">
      <c r="A65">
        <f t="shared" si="5"/>
        <v>31</v>
      </c>
      <c r="C65" s="13">
        <v>0.225297601015571</v>
      </c>
      <c r="D65" s="13"/>
      <c r="E65" s="29">
        <f t="shared" si="15"/>
        <v>1.75</v>
      </c>
      <c r="F65" s="28">
        <f t="shared" si="0"/>
        <v>0</v>
      </c>
      <c r="G65" s="1">
        <v>60</v>
      </c>
      <c r="H65" s="21">
        <v>47818</v>
      </c>
      <c r="I65" s="16">
        <v>89.75</v>
      </c>
      <c r="J65" s="25">
        <f t="shared" si="11"/>
        <v>42.87028962029806</v>
      </c>
      <c r="K65" s="25">
        <f t="shared" si="12"/>
        <v>52.580058076449781</v>
      </c>
      <c r="L65" s="26">
        <f t="shared" si="13"/>
        <v>140.17489109808832</v>
      </c>
      <c r="M65" s="25">
        <f t="shared" si="14"/>
        <v>171.92335251469342</v>
      </c>
      <c r="N65" s="16">
        <f t="shared" si="7"/>
        <v>82.17335251469342</v>
      </c>
      <c r="O65" s="25">
        <f t="shared" si="8"/>
        <v>-46.87971037970194</v>
      </c>
      <c r="P65" s="25">
        <f t="shared" si="9"/>
        <v>3876445.7315281476</v>
      </c>
      <c r="Q65" s="25">
        <f t="shared" si="10"/>
        <v>-2211503.4574520593</v>
      </c>
      <c r="R65" s="26">
        <f t="shared" si="1"/>
        <v>50.424891098088324</v>
      </c>
      <c r="S65" s="16">
        <f t="shared" si="2"/>
        <v>-37.169941923550219</v>
      </c>
      <c r="T65" s="35">
        <v>47174</v>
      </c>
      <c r="U65" s="26">
        <f t="shared" si="3"/>
        <v>2378743.8126612185</v>
      </c>
      <c r="V65" s="26">
        <f t="shared" si="4"/>
        <v>-1753454.8403015581</v>
      </c>
      <c r="W65" s="17"/>
      <c r="X65" s="17"/>
    </row>
    <row r="66" spans="1:24" x14ac:dyDescent="0.15">
      <c r="A66">
        <f t="shared" si="5"/>
        <v>31</v>
      </c>
      <c r="C66" s="13">
        <v>0.32858722008401198</v>
      </c>
      <c r="D66" s="13"/>
      <c r="E66" s="29">
        <f t="shared" si="15"/>
        <v>1.75</v>
      </c>
      <c r="F66" s="28">
        <f t="shared" si="0"/>
        <v>0</v>
      </c>
      <c r="G66" s="1">
        <v>61</v>
      </c>
      <c r="H66" s="21">
        <v>47849</v>
      </c>
      <c r="I66" s="16">
        <v>144.25</v>
      </c>
      <c r="J66" s="25">
        <f t="shared" si="11"/>
        <v>47.668464598215742</v>
      </c>
      <c r="K66" s="25">
        <f t="shared" si="12"/>
        <v>64.201455586726922</v>
      </c>
      <c r="L66" s="26">
        <f t="shared" si="13"/>
        <v>268.30467868598879</v>
      </c>
      <c r="M66" s="25">
        <f t="shared" si="14"/>
        <v>361.36156382545443</v>
      </c>
      <c r="N66" s="16">
        <f t="shared" si="7"/>
        <v>217.11156382545443</v>
      </c>
      <c r="O66" s="25">
        <f t="shared" si="8"/>
        <v>-96.581535401784265</v>
      </c>
      <c r="P66" s="25">
        <f t="shared" si="9"/>
        <v>10729870.595817784</v>
      </c>
      <c r="Q66" s="25">
        <f t="shared" si="10"/>
        <v>-4773156.0610915804</v>
      </c>
      <c r="R66" s="26">
        <f t="shared" si="1"/>
        <v>124.05467868598879</v>
      </c>
      <c r="S66" s="16">
        <f t="shared" si="2"/>
        <v>-80.048544413273078</v>
      </c>
      <c r="T66" s="35">
        <v>49421</v>
      </c>
      <c r="U66" s="26">
        <f t="shared" si="3"/>
        <v>6130906.2753402516</v>
      </c>
      <c r="V66" s="26">
        <f t="shared" si="4"/>
        <v>-3956079.1134483689</v>
      </c>
      <c r="W66" s="17"/>
      <c r="X66" s="17"/>
    </row>
    <row r="67" spans="1:24" x14ac:dyDescent="0.15">
      <c r="A67">
        <f t="shared" si="5"/>
        <v>28</v>
      </c>
      <c r="C67" s="13">
        <v>0.44789491535035098</v>
      </c>
      <c r="D67" s="13"/>
      <c r="E67" s="29">
        <f t="shared" si="15"/>
        <v>1.75</v>
      </c>
      <c r="F67" s="28">
        <f t="shared" si="0"/>
        <v>0</v>
      </c>
      <c r="G67" s="1">
        <v>62</v>
      </c>
      <c r="H67" s="21">
        <v>47880</v>
      </c>
      <c r="I67" s="16">
        <v>125.25</v>
      </c>
      <c r="J67" s="25">
        <f t="shared" si="11"/>
        <v>26.422911532068284</v>
      </c>
      <c r="K67" s="25">
        <f t="shared" si="12"/>
        <v>39.650372846254015</v>
      </c>
      <c r="L67" s="26">
        <f t="shared" si="13"/>
        <v>278.51053376415319</v>
      </c>
      <c r="M67" s="25">
        <f t="shared" si="14"/>
        <v>417.93450702642849</v>
      </c>
      <c r="N67" s="16">
        <f t="shared" si="7"/>
        <v>292.68450702642849</v>
      </c>
      <c r="O67" s="25">
        <f t="shared" si="8"/>
        <v>-98.827088467931716</v>
      </c>
      <c r="P67" s="25">
        <f t="shared" si="9"/>
        <v>13149729.53168338</v>
      </c>
      <c r="Q67" s="25">
        <f t="shared" si="10"/>
        <v>-4440103.4306872366</v>
      </c>
      <c r="R67" s="26">
        <f t="shared" si="1"/>
        <v>153.26053376415319</v>
      </c>
      <c r="S67" s="16">
        <f t="shared" si="2"/>
        <v>-85.599627153745985</v>
      </c>
      <c r="T67" s="35">
        <v>44928</v>
      </c>
      <c r="U67" s="26">
        <f t="shared" si="3"/>
        <v>6885689.2609558748</v>
      </c>
      <c r="V67" s="26">
        <f t="shared" si="4"/>
        <v>-3845820.0487634996</v>
      </c>
      <c r="W67" s="17"/>
      <c r="X67" s="17"/>
    </row>
    <row r="68" spans="1:24" x14ac:dyDescent="0.15">
      <c r="A68">
        <f t="shared" si="5"/>
        <v>31</v>
      </c>
      <c r="C68" s="13">
        <v>0.26375971098385198</v>
      </c>
      <c r="D68" s="13"/>
      <c r="E68" s="29">
        <f t="shared" si="15"/>
        <v>1.75</v>
      </c>
      <c r="F68" s="28">
        <f t="shared" si="0"/>
        <v>0</v>
      </c>
      <c r="G68" s="1">
        <v>63</v>
      </c>
      <c r="H68" s="21">
        <v>47908</v>
      </c>
      <c r="I68" s="16">
        <v>65.25</v>
      </c>
      <c r="J68" s="25">
        <f t="shared" si="11"/>
        <v>27.231281805935836</v>
      </c>
      <c r="K68" s="25">
        <f t="shared" si="12"/>
        <v>34.583526977204798</v>
      </c>
      <c r="L68" s="26">
        <f t="shared" si="13"/>
        <v>108.99789265977846</v>
      </c>
      <c r="M68" s="25">
        <f t="shared" si="14"/>
        <v>138.42651947570988</v>
      </c>
      <c r="N68" s="16">
        <f t="shared" si="7"/>
        <v>73.176519475709881</v>
      </c>
      <c r="O68" s="25">
        <f t="shared" si="8"/>
        <v>-38.018718194064164</v>
      </c>
      <c r="P68" s="25">
        <f t="shared" si="9"/>
        <v>3452029.1297471379</v>
      </c>
      <c r="Q68" s="25">
        <f t="shared" si="10"/>
        <v>-1793495.0120867828</v>
      </c>
      <c r="R68" s="26">
        <f t="shared" si="1"/>
        <v>43.747892659778458</v>
      </c>
      <c r="S68" s="16">
        <f t="shared" si="2"/>
        <v>-30.666473022795202</v>
      </c>
      <c r="T68" s="35">
        <v>47174</v>
      </c>
      <c r="U68" s="26">
        <f t="shared" si="3"/>
        <v>2063763.088332389</v>
      </c>
      <c r="V68" s="26">
        <f t="shared" si="4"/>
        <v>-1446660.1983773408</v>
      </c>
      <c r="W68" s="17"/>
      <c r="X68" s="17"/>
    </row>
    <row r="69" spans="1:24" x14ac:dyDescent="0.15">
      <c r="A69">
        <f t="shared" si="5"/>
        <v>30</v>
      </c>
      <c r="C69" s="13">
        <v>0.19153025705802601</v>
      </c>
      <c r="D69" s="13"/>
      <c r="E69" s="29">
        <f t="shared" si="15"/>
        <v>1.75</v>
      </c>
      <c r="F69" s="28">
        <f t="shared" si="0"/>
        <v>0</v>
      </c>
      <c r="G69" s="1">
        <v>64</v>
      </c>
      <c r="H69" s="21">
        <v>47939</v>
      </c>
      <c r="I69" s="16">
        <v>43</v>
      </c>
      <c r="J69" s="25">
        <f t="shared" si="11"/>
        <v>23.074958728055982</v>
      </c>
      <c r="K69" s="25">
        <f t="shared" si="12"/>
        <v>27.44837399713143</v>
      </c>
      <c r="L69" s="26">
        <f t="shared" si="13"/>
        <v>63.174237361924284</v>
      </c>
      <c r="M69" s="25">
        <f t="shared" si="14"/>
        <v>75.147700783763867</v>
      </c>
      <c r="N69" s="16">
        <f t="shared" si="7"/>
        <v>32.147700783763867</v>
      </c>
      <c r="O69" s="25">
        <f t="shared" si="8"/>
        <v>-19.925041271944018</v>
      </c>
      <c r="P69" s="25">
        <f t="shared" si="9"/>
        <v>1191586.6772509916</v>
      </c>
      <c r="Q69" s="25">
        <f t="shared" si="10"/>
        <v>-738541.57978587691</v>
      </c>
      <c r="R69" s="26">
        <f t="shared" si="1"/>
        <v>20.174237361924284</v>
      </c>
      <c r="S69" s="16">
        <f t="shared" si="2"/>
        <v>-15.55162600286857</v>
      </c>
      <c r="T69" s="35">
        <v>37066</v>
      </c>
      <c r="U69" s="26">
        <f t="shared" si="3"/>
        <v>747778.28205708554</v>
      </c>
      <c r="V69" s="26">
        <f t="shared" si="4"/>
        <v>-576436.5694223264</v>
      </c>
      <c r="W69" s="17"/>
      <c r="X69" s="17"/>
    </row>
    <row r="70" spans="1:24" x14ac:dyDescent="0.15">
      <c r="A70">
        <f t="shared" si="5"/>
        <v>31</v>
      </c>
      <c r="C70" s="13">
        <v>0.35847604983947501</v>
      </c>
      <c r="D70" s="13"/>
      <c r="E70" s="29">
        <f t="shared" si="15"/>
        <v>1.75</v>
      </c>
      <c r="F70" s="28">
        <f t="shared" ref="F70:F89" si="16">$D$2</f>
        <v>0</v>
      </c>
      <c r="G70" s="1">
        <v>65</v>
      </c>
      <c r="H70" s="21">
        <v>47969</v>
      </c>
      <c r="I70" s="16">
        <v>36.5</v>
      </c>
      <c r="J70" s="25">
        <f t="shared" si="11"/>
        <v>10.804249070509707</v>
      </c>
      <c r="K70" s="25">
        <f t="shared" si="12"/>
        <v>14.951022142210979</v>
      </c>
      <c r="L70" s="26">
        <f t="shared" si="13"/>
        <v>71.162142170502591</v>
      </c>
      <c r="M70" s="25">
        <f t="shared" si="14"/>
        <v>98.474845992064544</v>
      </c>
      <c r="N70" s="16">
        <f t="shared" si="7"/>
        <v>61.974845992064544</v>
      </c>
      <c r="O70" s="25">
        <f t="shared" si="8"/>
        <v>-25.695750929490295</v>
      </c>
      <c r="P70" s="25">
        <f t="shared" si="9"/>
        <v>2192732.0260452358</v>
      </c>
      <c r="Q70" s="25">
        <f t="shared" si="10"/>
        <v>-909141.36363629613</v>
      </c>
      <c r="R70" s="26">
        <f t="shared" ref="R70:R89" si="17">L70-I70</f>
        <v>34.662142170502591</v>
      </c>
      <c r="S70" s="16">
        <f t="shared" ref="S70:S89" si="18">K70-I70</f>
        <v>-21.548977857789019</v>
      </c>
      <c r="T70" s="35">
        <v>35381</v>
      </c>
      <c r="U70" s="26">
        <f t="shared" ref="U70:U117" si="19">R70*T70</f>
        <v>1226381.2521345522</v>
      </c>
      <c r="V70" s="26">
        <f t="shared" ref="V70:V117" si="20">S70*T70</f>
        <v>-762424.38558643335</v>
      </c>
      <c r="W70" s="17"/>
      <c r="X70" s="17"/>
    </row>
    <row r="71" spans="1:24" x14ac:dyDescent="0.15">
      <c r="A71">
        <f t="shared" ref="A71:A84" si="21">DAY(EOMONTH(H71,0))</f>
        <v>30</v>
      </c>
      <c r="C71" s="13">
        <v>0.20640747309935401</v>
      </c>
      <c r="D71" s="13"/>
      <c r="E71" s="29">
        <f t="shared" si="15"/>
        <v>1.75</v>
      </c>
      <c r="F71" s="28">
        <f t="shared" si="16"/>
        <v>0</v>
      </c>
      <c r="G71" s="1">
        <v>66</v>
      </c>
      <c r="H71" s="21">
        <v>48000</v>
      </c>
      <c r="I71" s="16">
        <v>48.25</v>
      </c>
      <c r="J71" s="25">
        <f t="shared" si="11"/>
        <v>24.603961753529035</v>
      </c>
      <c r="K71" s="25">
        <f t="shared" si="12"/>
        <v>29.664400794748193</v>
      </c>
      <c r="L71" s="26">
        <f t="shared" si="13"/>
        <v>72.841574934653522</v>
      </c>
      <c r="M71" s="25">
        <f t="shared" si="14"/>
        <v>87.823322724532943</v>
      </c>
      <c r="N71" s="16">
        <f t="shared" ref="N71:N89" si="22">M71-I71</f>
        <v>39.573322724532943</v>
      </c>
      <c r="O71" s="25">
        <f t="shared" ref="O71:O92" si="23">J71-I71</f>
        <v>-23.646038246470965</v>
      </c>
      <c r="P71" s="25">
        <f t="shared" ref="P71:P89" si="24">N71*T71</f>
        <v>1866831.926207117</v>
      </c>
      <c r="Q71" s="25">
        <f t="shared" ref="Q71:Q89" si="25">O71*T71</f>
        <v>-1115478.2082390212</v>
      </c>
      <c r="R71" s="26">
        <f t="shared" si="17"/>
        <v>24.591574934653522</v>
      </c>
      <c r="S71" s="16">
        <f t="shared" si="18"/>
        <v>-18.585599205251807</v>
      </c>
      <c r="T71" s="35">
        <v>47174</v>
      </c>
      <c r="U71" s="26">
        <f t="shared" si="19"/>
        <v>1160082.9559673453</v>
      </c>
      <c r="V71" s="26">
        <f t="shared" si="20"/>
        <v>-876757.05690854869</v>
      </c>
      <c r="W71" s="17"/>
      <c r="X71" s="17"/>
    </row>
    <row r="72" spans="1:24" x14ac:dyDescent="0.15">
      <c r="A72">
        <f t="shared" si="21"/>
        <v>31</v>
      </c>
      <c r="C72" s="13">
        <v>0.21075682458359901</v>
      </c>
      <c r="D72" s="13"/>
      <c r="E72" s="29">
        <f t="shared" si="15"/>
        <v>1.75</v>
      </c>
      <c r="F72" s="28">
        <f t="shared" si="16"/>
        <v>0</v>
      </c>
      <c r="G72" s="1">
        <v>67</v>
      </c>
      <c r="H72" s="21">
        <v>48030</v>
      </c>
      <c r="I72" s="16">
        <v>82.5</v>
      </c>
      <c r="J72" s="25">
        <f t="shared" si="11"/>
        <v>41.442890221426836</v>
      </c>
      <c r="K72" s="25">
        <f t="shared" si="12"/>
        <v>50.164008875567198</v>
      </c>
      <c r="L72" s="26">
        <f t="shared" si="13"/>
        <v>125.53272773607736</v>
      </c>
      <c r="M72" s="25">
        <f t="shared" si="14"/>
        <v>151.94946189035215</v>
      </c>
      <c r="N72" s="16">
        <f t="shared" si="22"/>
        <v>69.449461890352154</v>
      </c>
      <c r="O72" s="25">
        <f t="shared" si="23"/>
        <v>-41.057109778573164</v>
      </c>
      <c r="P72" s="25">
        <f t="shared" si="24"/>
        <v>3432261.8560830937</v>
      </c>
      <c r="Q72" s="25">
        <f t="shared" si="25"/>
        <v>-2029083.4223668643</v>
      </c>
      <c r="R72" s="26">
        <f t="shared" si="17"/>
        <v>43.032727736077362</v>
      </c>
      <c r="S72" s="16">
        <f t="shared" si="18"/>
        <v>-32.335991124432802</v>
      </c>
      <c r="T72" s="35">
        <v>49421</v>
      </c>
      <c r="U72" s="26">
        <f t="shared" si="19"/>
        <v>2126720.4374446794</v>
      </c>
      <c r="V72" s="26">
        <f t="shared" si="20"/>
        <v>-1598077.0173605934</v>
      </c>
      <c r="W72" s="17"/>
      <c r="X72" s="17"/>
    </row>
    <row r="73" spans="1:24" x14ac:dyDescent="0.15">
      <c r="A73">
        <f t="shared" si="21"/>
        <v>31</v>
      </c>
      <c r="C73" s="13">
        <v>0.27626370078495099</v>
      </c>
      <c r="D73" s="13"/>
      <c r="E73" s="29">
        <f t="shared" si="15"/>
        <v>1.75</v>
      </c>
      <c r="F73" s="28">
        <f t="shared" si="16"/>
        <v>0</v>
      </c>
      <c r="G73" s="1">
        <v>68</v>
      </c>
      <c r="H73" s="21">
        <v>48061</v>
      </c>
      <c r="I73" s="16">
        <v>64.099999999999994</v>
      </c>
      <c r="J73" s="25">
        <f t="shared" si="11"/>
        <v>25.58830097937782</v>
      </c>
      <c r="K73" s="25">
        <f t="shared" si="12"/>
        <v>32.867261894873408</v>
      </c>
      <c r="L73" s="26">
        <f t="shared" si="13"/>
        <v>109.38226748364555</v>
      </c>
      <c r="M73" s="25">
        <f t="shared" si="14"/>
        <v>140.49762955881445</v>
      </c>
      <c r="N73" s="16">
        <f t="shared" si="22"/>
        <v>76.397629558814458</v>
      </c>
      <c r="O73" s="25">
        <f t="shared" si="23"/>
        <v>-38.511699020622174</v>
      </c>
      <c r="P73" s="25">
        <f t="shared" si="24"/>
        <v>3603981.7768075131</v>
      </c>
      <c r="Q73" s="25">
        <f t="shared" si="25"/>
        <v>-1816750.8895988304</v>
      </c>
      <c r="R73" s="26">
        <f t="shared" si="17"/>
        <v>45.282267483645555</v>
      </c>
      <c r="S73" s="16">
        <f t="shared" si="18"/>
        <v>-31.232738105126586</v>
      </c>
      <c r="T73" s="35">
        <v>47174</v>
      </c>
      <c r="U73" s="26">
        <f t="shared" si="19"/>
        <v>2136145.6862734952</v>
      </c>
      <c r="V73" s="26">
        <f t="shared" si="20"/>
        <v>-1473373.1873712416</v>
      </c>
      <c r="W73" s="17"/>
      <c r="X73" s="17"/>
    </row>
    <row r="74" spans="1:24" x14ac:dyDescent="0.15">
      <c r="A74">
        <f t="shared" si="21"/>
        <v>30</v>
      </c>
      <c r="C74" s="13">
        <v>0.21004932506034199</v>
      </c>
      <c r="D74" s="13"/>
      <c r="E74" s="29">
        <f t="shared" si="15"/>
        <v>1.75</v>
      </c>
      <c r="F74" s="28">
        <f t="shared" si="16"/>
        <v>0</v>
      </c>
      <c r="G74" s="1">
        <v>69</v>
      </c>
      <c r="H74" s="21">
        <v>48092</v>
      </c>
      <c r="I74" s="16">
        <v>39</v>
      </c>
      <c r="J74" s="25">
        <f t="shared" ref="J74:J92" si="26">$I74*EXP(($F74-0.5*$C74^2)*$E74-$C74*SQRT($E74)*$F$2)</f>
        <v>19.639069502719103</v>
      </c>
      <c r="K74" s="25">
        <f t="shared" ref="K74:K89" si="27">$I74*EXP(($F74-0.5*$C74^2)*$E74-$C74*SQRT($E74)*$G$2)</f>
        <v>23.756621320600019</v>
      </c>
      <c r="L74" s="26">
        <f t="shared" ref="L74:L89" si="28">$I74*EXP(($F74-0.5*$C74^2)*$E74+$C74*SQRT($E74)*$G$2)</f>
        <v>59.266886878242573</v>
      </c>
      <c r="M74" s="25">
        <f t="shared" ref="M74:M92" si="29">$I74*EXP(($F74-0.5*$C74^2)*$E74+$C74*SQRT($E74)*$F$2)</f>
        <v>71.692856335291594</v>
      </c>
      <c r="N74" s="16">
        <f t="shared" si="22"/>
        <v>32.692856335291594</v>
      </c>
      <c r="O74" s="25">
        <f t="shared" si="23"/>
        <v>-19.360930497280897</v>
      </c>
      <c r="P74" s="25">
        <f t="shared" si="24"/>
        <v>1156705.949998952</v>
      </c>
      <c r="Q74" s="25">
        <f t="shared" si="25"/>
        <v>-685009.0819242954</v>
      </c>
      <c r="R74" s="26">
        <f t="shared" si="17"/>
        <v>20.266886878242573</v>
      </c>
      <c r="S74" s="16">
        <f t="shared" si="18"/>
        <v>-15.243378679399981</v>
      </c>
      <c r="T74" s="35">
        <v>35381</v>
      </c>
      <c r="U74" s="26">
        <f t="shared" si="19"/>
        <v>717062.72463910049</v>
      </c>
      <c r="V74" s="26">
        <f t="shared" si="20"/>
        <v>-539325.98105585075</v>
      </c>
      <c r="W74" s="17"/>
      <c r="X74" s="17"/>
    </row>
    <row r="75" spans="1:24" x14ac:dyDescent="0.15">
      <c r="A75">
        <f t="shared" si="21"/>
        <v>31</v>
      </c>
      <c r="C75" s="13">
        <v>0.32327447549514399</v>
      </c>
      <c r="D75" s="13"/>
      <c r="E75" s="29">
        <f t="shared" si="15"/>
        <v>1.75</v>
      </c>
      <c r="F75" s="28">
        <f t="shared" si="16"/>
        <v>0</v>
      </c>
      <c r="G75" s="1">
        <v>70</v>
      </c>
      <c r="H75" s="21">
        <v>48122</v>
      </c>
      <c r="I75" s="16">
        <v>39</v>
      </c>
      <c r="J75" s="25">
        <f t="shared" si="26"/>
        <v>13.140375012909415</v>
      </c>
      <c r="K75" s="25">
        <f t="shared" si="27"/>
        <v>17.612891878884362</v>
      </c>
      <c r="L75" s="26">
        <f t="shared" si="28"/>
        <v>71.923711073447194</v>
      </c>
      <c r="M75" s="25">
        <f t="shared" si="29"/>
        <v>96.403987361108378</v>
      </c>
      <c r="N75" s="16">
        <f t="shared" si="22"/>
        <v>57.403987361108378</v>
      </c>
      <c r="O75" s="25">
        <f t="shared" si="23"/>
        <v>-25.859624987090584</v>
      </c>
      <c r="P75" s="25">
        <f t="shared" si="24"/>
        <v>2224404.5102429497</v>
      </c>
      <c r="Q75" s="25">
        <f t="shared" si="25"/>
        <v>-1002060.4682497601</v>
      </c>
      <c r="R75" s="26">
        <f t="shared" si="17"/>
        <v>32.923711073447194</v>
      </c>
      <c r="S75" s="16">
        <f t="shared" si="18"/>
        <v>-21.387108121115638</v>
      </c>
      <c r="T75" s="35">
        <v>38750</v>
      </c>
      <c r="U75" s="26">
        <f t="shared" si="19"/>
        <v>1275793.8040960787</v>
      </c>
      <c r="V75" s="26">
        <f t="shared" si="20"/>
        <v>-828750.43969323102</v>
      </c>
      <c r="W75" s="17"/>
      <c r="X75" s="17"/>
    </row>
    <row r="76" spans="1:24" x14ac:dyDescent="0.15">
      <c r="A76">
        <f t="shared" si="21"/>
        <v>30</v>
      </c>
      <c r="C76" s="13">
        <v>0.33029793826201398</v>
      </c>
      <c r="D76" s="13"/>
      <c r="E76" s="29">
        <f t="shared" si="15"/>
        <v>1.75</v>
      </c>
      <c r="F76" s="28">
        <f t="shared" si="16"/>
        <v>0</v>
      </c>
      <c r="G76" s="1">
        <v>71</v>
      </c>
      <c r="H76" s="21">
        <v>48153</v>
      </c>
      <c r="I76" s="16">
        <v>54.25</v>
      </c>
      <c r="J76" s="25">
        <f t="shared" si="26"/>
        <v>17.815447689782555</v>
      </c>
      <c r="K76" s="25">
        <f t="shared" si="27"/>
        <v>24.031655808718853</v>
      </c>
      <c r="L76" s="26">
        <f t="shared" si="28"/>
        <v>101.18138098186016</v>
      </c>
      <c r="M76" s="25">
        <f t="shared" si="29"/>
        <v>136.48582760013667</v>
      </c>
      <c r="N76" s="16">
        <f t="shared" si="22"/>
        <v>82.235827600136673</v>
      </c>
      <c r="O76" s="25">
        <f t="shared" si="23"/>
        <v>-36.434552310217441</v>
      </c>
      <c r="P76" s="25">
        <f t="shared" si="24"/>
        <v>3509989.5936290333</v>
      </c>
      <c r="Q76" s="25">
        <f t="shared" si="25"/>
        <v>-1555099.5617047008</v>
      </c>
      <c r="R76" s="26">
        <f t="shared" si="17"/>
        <v>46.931380981860158</v>
      </c>
      <c r="S76" s="16">
        <f t="shared" si="18"/>
        <v>-30.218344191281147</v>
      </c>
      <c r="T76" s="35">
        <v>42682</v>
      </c>
      <c r="U76" s="26">
        <f t="shared" si="19"/>
        <v>2003125.2030677553</v>
      </c>
      <c r="V76" s="26">
        <f t="shared" si="20"/>
        <v>-1289779.3667722619</v>
      </c>
      <c r="W76" s="17"/>
      <c r="X76" s="17"/>
    </row>
    <row r="77" spans="1:24" x14ac:dyDescent="0.15">
      <c r="A77">
        <f t="shared" si="21"/>
        <v>31</v>
      </c>
      <c r="C77" s="13">
        <v>0.225297601015571</v>
      </c>
      <c r="D77" s="13"/>
      <c r="E77" s="29">
        <f t="shared" si="15"/>
        <v>1.75</v>
      </c>
      <c r="F77" s="28">
        <f t="shared" si="16"/>
        <v>0</v>
      </c>
      <c r="G77" s="1">
        <v>72</v>
      </c>
      <c r="H77" s="21">
        <v>48183</v>
      </c>
      <c r="I77" s="16">
        <v>89.75</v>
      </c>
      <c r="J77" s="25">
        <f t="shared" si="26"/>
        <v>42.87028962029806</v>
      </c>
      <c r="K77" s="25">
        <f t="shared" si="27"/>
        <v>52.580058076449781</v>
      </c>
      <c r="L77" s="26">
        <f t="shared" si="28"/>
        <v>140.17489109808832</v>
      </c>
      <c r="M77" s="25">
        <f t="shared" si="29"/>
        <v>171.92335251469342</v>
      </c>
      <c r="N77" s="16">
        <f t="shared" si="22"/>
        <v>82.17335251469342</v>
      </c>
      <c r="O77" s="25">
        <f t="shared" si="23"/>
        <v>-46.87971037970194</v>
      </c>
      <c r="P77" s="25">
        <f t="shared" si="24"/>
        <v>4061089.2546286634</v>
      </c>
      <c r="Q77" s="25">
        <f t="shared" si="25"/>
        <v>-2316842.1666752496</v>
      </c>
      <c r="R77" s="26">
        <f t="shared" si="17"/>
        <v>50.424891098088324</v>
      </c>
      <c r="S77" s="16">
        <f t="shared" si="18"/>
        <v>-37.169941923550219</v>
      </c>
      <c r="T77" s="35">
        <v>49421</v>
      </c>
      <c r="U77" s="26">
        <f t="shared" si="19"/>
        <v>2492048.5429586233</v>
      </c>
      <c r="V77" s="26">
        <f t="shared" si="20"/>
        <v>-1836975.6998037754</v>
      </c>
      <c r="W77" s="17"/>
      <c r="X77" s="17"/>
    </row>
    <row r="78" spans="1:24" x14ac:dyDescent="0.15">
      <c r="A78">
        <f>DAY(EOMONTH(H78,0))</f>
        <v>31</v>
      </c>
      <c r="C78" s="13">
        <v>0.32858722008401198</v>
      </c>
      <c r="D78" s="13"/>
      <c r="E78" s="29">
        <f t="shared" si="15"/>
        <v>1.75</v>
      </c>
      <c r="F78" s="28">
        <f t="shared" si="16"/>
        <v>0</v>
      </c>
      <c r="G78" s="1">
        <v>73</v>
      </c>
      <c r="H78" s="21">
        <v>48214</v>
      </c>
      <c r="I78" s="16">
        <v>144.25</v>
      </c>
      <c r="J78" s="25">
        <f t="shared" si="26"/>
        <v>47.668464598215742</v>
      </c>
      <c r="K78" s="25">
        <f t="shared" si="27"/>
        <v>64.201455586726922</v>
      </c>
      <c r="L78" s="26">
        <f t="shared" si="28"/>
        <v>268.30467868598879</v>
      </c>
      <c r="M78" s="25">
        <f t="shared" si="29"/>
        <v>361.36156382545443</v>
      </c>
      <c r="N78" s="16">
        <f t="shared" si="22"/>
        <v>217.11156382545443</v>
      </c>
      <c r="O78" s="25">
        <f t="shared" si="23"/>
        <v>-96.581535401784265</v>
      </c>
      <c r="P78" s="25">
        <f t="shared" si="24"/>
        <v>10242020.911901986</v>
      </c>
      <c r="Q78" s="25">
        <f t="shared" si="25"/>
        <v>-4556137.351043771</v>
      </c>
      <c r="R78" s="26">
        <f t="shared" si="17"/>
        <v>124.05467868598879</v>
      </c>
      <c r="S78" s="16">
        <f t="shared" si="18"/>
        <v>-80.048544413273078</v>
      </c>
      <c r="T78" s="35">
        <v>47174</v>
      </c>
      <c r="U78" s="26">
        <f t="shared" si="19"/>
        <v>5852155.4123328356</v>
      </c>
      <c r="V78" s="26">
        <f t="shared" si="20"/>
        <v>-3776210.0341517441</v>
      </c>
      <c r="W78" s="17"/>
      <c r="X78" s="17"/>
    </row>
    <row r="79" spans="1:24" x14ac:dyDescent="0.15">
      <c r="A79">
        <f t="shared" ref="A79:A89" si="30">DAY(EOMONTH(H79,0))</f>
        <v>29</v>
      </c>
      <c r="C79" s="13">
        <v>0.44789491535035098</v>
      </c>
      <c r="D79" s="13"/>
      <c r="E79" s="29">
        <f t="shared" si="15"/>
        <v>1.75</v>
      </c>
      <c r="F79" s="28">
        <f t="shared" si="16"/>
        <v>0</v>
      </c>
      <c r="G79" s="1">
        <v>74</v>
      </c>
      <c r="H79" s="21">
        <v>48245</v>
      </c>
      <c r="I79" s="16">
        <v>125.25</v>
      </c>
      <c r="J79" s="25">
        <f t="shared" si="26"/>
        <v>26.422911532068284</v>
      </c>
      <c r="K79" s="25">
        <f t="shared" si="27"/>
        <v>39.650372846254015</v>
      </c>
      <c r="L79" s="26">
        <f t="shared" si="28"/>
        <v>278.51053376415319</v>
      </c>
      <c r="M79" s="25">
        <f t="shared" si="29"/>
        <v>417.93450702642849</v>
      </c>
      <c r="N79" s="16">
        <f t="shared" si="22"/>
        <v>292.68450702642849</v>
      </c>
      <c r="O79" s="25">
        <f t="shared" si="23"/>
        <v>-98.827088467931716</v>
      </c>
      <c r="P79" s="25">
        <f t="shared" si="24"/>
        <v>13149729.53168338</v>
      </c>
      <c r="Q79" s="25">
        <f t="shared" si="25"/>
        <v>-4440103.4306872366</v>
      </c>
      <c r="R79" s="26">
        <f t="shared" si="17"/>
        <v>153.26053376415319</v>
      </c>
      <c r="S79" s="16">
        <f t="shared" si="18"/>
        <v>-85.599627153745985</v>
      </c>
      <c r="T79" s="35">
        <v>44928</v>
      </c>
      <c r="U79" s="26">
        <f t="shared" si="19"/>
        <v>6885689.2609558748</v>
      </c>
      <c r="V79" s="26">
        <f t="shared" si="20"/>
        <v>-3845820.0487634996</v>
      </c>
      <c r="W79" s="17"/>
      <c r="X79" s="17"/>
    </row>
    <row r="80" spans="1:24" x14ac:dyDescent="0.15">
      <c r="A80">
        <f t="shared" si="30"/>
        <v>31</v>
      </c>
      <c r="C80" s="13">
        <v>0.26375971098385198</v>
      </c>
      <c r="D80" s="13"/>
      <c r="E80" s="29">
        <f t="shared" si="15"/>
        <v>1.75</v>
      </c>
      <c r="F80" s="28">
        <f t="shared" si="16"/>
        <v>0</v>
      </c>
      <c r="G80" s="1">
        <v>75</v>
      </c>
      <c r="H80" s="21">
        <v>48274</v>
      </c>
      <c r="I80" s="16">
        <v>65.25</v>
      </c>
      <c r="J80" s="25">
        <f t="shared" si="26"/>
        <v>27.231281805935836</v>
      </c>
      <c r="K80" s="25">
        <f t="shared" si="27"/>
        <v>34.583526977204798</v>
      </c>
      <c r="L80" s="26">
        <f t="shared" si="28"/>
        <v>108.99789265977846</v>
      </c>
      <c r="M80" s="25">
        <f t="shared" si="29"/>
        <v>138.42651947570988</v>
      </c>
      <c r="N80" s="16">
        <f t="shared" si="22"/>
        <v>73.176519475709881</v>
      </c>
      <c r="O80" s="25">
        <f t="shared" si="23"/>
        <v>-38.018718194064164</v>
      </c>
      <c r="P80" s="25">
        <f t="shared" si="24"/>
        <v>3780811.2317515025</v>
      </c>
      <c r="Q80" s="25">
        <f t="shared" si="25"/>
        <v>-1964313.1129327132</v>
      </c>
      <c r="R80" s="26">
        <f t="shared" si="17"/>
        <v>43.747892659778458</v>
      </c>
      <c r="S80" s="16">
        <f t="shared" si="18"/>
        <v>-30.666473022795202</v>
      </c>
      <c r="T80" s="35">
        <v>51667</v>
      </c>
      <c r="U80" s="26">
        <f t="shared" si="19"/>
        <v>2260322.3700527735</v>
      </c>
      <c r="V80" s="26">
        <f t="shared" si="20"/>
        <v>-1584444.6616687598</v>
      </c>
      <c r="W80" s="17"/>
      <c r="X80" s="17"/>
    </row>
    <row r="81" spans="1:24" x14ac:dyDescent="0.15">
      <c r="A81">
        <f t="shared" si="30"/>
        <v>30</v>
      </c>
      <c r="C81" s="13">
        <v>0.19153025705802601</v>
      </c>
      <c r="D81" s="13"/>
      <c r="E81" s="29">
        <f t="shared" si="15"/>
        <v>1.75</v>
      </c>
      <c r="F81" s="28">
        <f t="shared" si="16"/>
        <v>0</v>
      </c>
      <c r="G81" s="1">
        <v>76</v>
      </c>
      <c r="H81" s="21">
        <v>48305</v>
      </c>
      <c r="I81" s="16">
        <v>43</v>
      </c>
      <c r="J81" s="25">
        <f t="shared" si="26"/>
        <v>23.074958728055982</v>
      </c>
      <c r="K81" s="25">
        <f t="shared" si="27"/>
        <v>27.44837399713143</v>
      </c>
      <c r="L81" s="26">
        <f t="shared" si="28"/>
        <v>63.174237361924284</v>
      </c>
      <c r="M81" s="25">
        <f t="shared" si="29"/>
        <v>75.147700783763867</v>
      </c>
      <c r="N81" s="16">
        <f t="shared" si="22"/>
        <v>32.147700783763867</v>
      </c>
      <c r="O81" s="25">
        <f t="shared" si="23"/>
        <v>-19.925041271944018</v>
      </c>
      <c r="P81" s="25">
        <f t="shared" si="24"/>
        <v>1191586.6772509916</v>
      </c>
      <c r="Q81" s="25">
        <f t="shared" si="25"/>
        <v>-738541.57978587691</v>
      </c>
      <c r="R81" s="26">
        <f t="shared" si="17"/>
        <v>20.174237361924284</v>
      </c>
      <c r="S81" s="16">
        <f t="shared" si="18"/>
        <v>-15.55162600286857</v>
      </c>
      <c r="T81" s="35">
        <v>37066</v>
      </c>
      <c r="U81" s="26">
        <f t="shared" si="19"/>
        <v>747778.28205708554</v>
      </c>
      <c r="V81" s="26">
        <f t="shared" si="20"/>
        <v>-576436.5694223264</v>
      </c>
      <c r="W81" s="17"/>
      <c r="X81" s="17"/>
    </row>
    <row r="82" spans="1:24" x14ac:dyDescent="0.15">
      <c r="A82">
        <f t="shared" si="30"/>
        <v>31</v>
      </c>
      <c r="C82" s="13">
        <v>0.35847604983947501</v>
      </c>
      <c r="D82" s="13"/>
      <c r="E82" s="29">
        <f t="shared" si="15"/>
        <v>1.75</v>
      </c>
      <c r="F82" s="28">
        <f t="shared" si="16"/>
        <v>0</v>
      </c>
      <c r="G82" s="1">
        <v>77</v>
      </c>
      <c r="H82" s="21">
        <v>48335</v>
      </c>
      <c r="I82" s="16">
        <v>36.5</v>
      </c>
      <c r="J82" s="25">
        <f t="shared" si="26"/>
        <v>10.804249070509707</v>
      </c>
      <c r="K82" s="25">
        <f t="shared" si="27"/>
        <v>14.951022142210979</v>
      </c>
      <c r="L82" s="26">
        <f t="shared" si="28"/>
        <v>71.162142170502591</v>
      </c>
      <c r="M82" s="25">
        <f t="shared" si="29"/>
        <v>98.474845992064544</v>
      </c>
      <c r="N82" s="16">
        <f t="shared" si="22"/>
        <v>61.974845992064544</v>
      </c>
      <c r="O82" s="25">
        <f t="shared" si="23"/>
        <v>-25.695750929490295</v>
      </c>
      <c r="P82" s="25">
        <f t="shared" si="24"/>
        <v>2088304.4105486069</v>
      </c>
      <c r="Q82" s="25">
        <f t="shared" si="25"/>
        <v>-865844.02332010493</v>
      </c>
      <c r="R82" s="26">
        <f t="shared" si="17"/>
        <v>34.662142170502591</v>
      </c>
      <c r="S82" s="16">
        <f t="shared" si="18"/>
        <v>-21.548977857789019</v>
      </c>
      <c r="T82" s="35">
        <v>33696</v>
      </c>
      <c r="U82" s="26">
        <f t="shared" si="19"/>
        <v>1167975.5425772553</v>
      </c>
      <c r="V82" s="26">
        <f t="shared" si="20"/>
        <v>-726114.35789605882</v>
      </c>
      <c r="W82" s="17"/>
      <c r="X82" s="17"/>
    </row>
    <row r="83" spans="1:24" x14ac:dyDescent="0.15">
      <c r="A83">
        <f t="shared" si="30"/>
        <v>30</v>
      </c>
      <c r="C83" s="13">
        <v>0.20640747309935401</v>
      </c>
      <c r="D83" s="13"/>
      <c r="E83" s="29">
        <f t="shared" si="15"/>
        <v>1.75</v>
      </c>
      <c r="F83" s="28">
        <f t="shared" si="16"/>
        <v>0</v>
      </c>
      <c r="G83" s="1">
        <v>78</v>
      </c>
      <c r="H83" s="21">
        <v>48366</v>
      </c>
      <c r="I83" s="16">
        <v>48.25</v>
      </c>
      <c r="J83" s="25">
        <f t="shared" si="26"/>
        <v>24.603961753529035</v>
      </c>
      <c r="K83" s="25">
        <f t="shared" si="27"/>
        <v>29.664400794748193</v>
      </c>
      <c r="L83" s="26">
        <f t="shared" si="28"/>
        <v>72.841574934653522</v>
      </c>
      <c r="M83" s="25">
        <f t="shared" si="29"/>
        <v>87.823322724532943</v>
      </c>
      <c r="N83" s="16">
        <f t="shared" si="22"/>
        <v>39.573322724532943</v>
      </c>
      <c r="O83" s="25">
        <f t="shared" si="23"/>
        <v>-23.646038246470965</v>
      </c>
      <c r="P83" s="25">
        <f t="shared" si="24"/>
        <v>1955753.1823691425</v>
      </c>
      <c r="Q83" s="25">
        <f t="shared" si="25"/>
        <v>-1168610.8561788416</v>
      </c>
      <c r="R83" s="26">
        <f t="shared" si="17"/>
        <v>24.591574934653522</v>
      </c>
      <c r="S83" s="16">
        <f t="shared" si="18"/>
        <v>-18.585599205251807</v>
      </c>
      <c r="T83" s="35">
        <v>49421</v>
      </c>
      <c r="U83" s="26">
        <f t="shared" si="19"/>
        <v>1215340.2248455116</v>
      </c>
      <c r="V83" s="26">
        <f t="shared" si="20"/>
        <v>-918518.89832274953</v>
      </c>
      <c r="W83" s="17"/>
      <c r="X83" s="17"/>
    </row>
    <row r="84" spans="1:24" x14ac:dyDescent="0.15">
      <c r="A84">
        <f t="shared" si="30"/>
        <v>31</v>
      </c>
      <c r="C84" s="13">
        <v>0.21075682458359901</v>
      </c>
      <c r="D84" s="13"/>
      <c r="E84" s="29">
        <f t="shared" si="15"/>
        <v>1.75</v>
      </c>
      <c r="F84" s="28">
        <f t="shared" si="16"/>
        <v>0</v>
      </c>
      <c r="G84" s="1">
        <v>79</v>
      </c>
      <c r="H84" s="21">
        <v>48396</v>
      </c>
      <c r="I84" s="16">
        <v>82.5</v>
      </c>
      <c r="J84" s="25">
        <f t="shared" si="26"/>
        <v>41.442890221426836</v>
      </c>
      <c r="K84" s="25">
        <f t="shared" si="27"/>
        <v>50.164008875567198</v>
      </c>
      <c r="L84" s="26">
        <f t="shared" si="28"/>
        <v>125.53272773607736</v>
      </c>
      <c r="M84" s="25">
        <f t="shared" si="29"/>
        <v>151.94946189035215</v>
      </c>
      <c r="N84" s="16">
        <f t="shared" si="22"/>
        <v>69.449461890352154</v>
      </c>
      <c r="O84" s="25">
        <f t="shared" si="23"/>
        <v>-41.057109778573164</v>
      </c>
      <c r="P84" s="25">
        <f t="shared" si="24"/>
        <v>3276208.9152154727</v>
      </c>
      <c r="Q84" s="25">
        <f t="shared" si="25"/>
        <v>-1936828.0966944103</v>
      </c>
      <c r="R84" s="26">
        <f t="shared" si="17"/>
        <v>43.032727736077362</v>
      </c>
      <c r="S84" s="16">
        <f t="shared" si="18"/>
        <v>-32.335991124432802</v>
      </c>
      <c r="T84" s="35">
        <v>47174</v>
      </c>
      <c r="U84" s="26">
        <f t="shared" si="19"/>
        <v>2030025.8982217135</v>
      </c>
      <c r="V84" s="26">
        <f t="shared" si="20"/>
        <v>-1525418.0453039929</v>
      </c>
      <c r="W84" s="17"/>
      <c r="X84" s="17"/>
    </row>
    <row r="85" spans="1:24" x14ac:dyDescent="0.15">
      <c r="A85">
        <f t="shared" si="30"/>
        <v>31</v>
      </c>
      <c r="C85" s="1">
        <v>0.27626370078495099</v>
      </c>
      <c r="E85" s="29">
        <f t="shared" si="15"/>
        <v>1.75</v>
      </c>
      <c r="F85" s="28">
        <f t="shared" si="16"/>
        <v>0</v>
      </c>
      <c r="G85" s="1">
        <v>80</v>
      </c>
      <c r="H85" s="21">
        <v>48427</v>
      </c>
      <c r="I85" s="16">
        <v>64.099999999999994</v>
      </c>
      <c r="J85" s="25">
        <f t="shared" si="26"/>
        <v>25.58830097937782</v>
      </c>
      <c r="K85" s="25">
        <f t="shared" si="27"/>
        <v>32.867261894873408</v>
      </c>
      <c r="L85" s="26">
        <f t="shared" si="28"/>
        <v>109.38226748364555</v>
      </c>
      <c r="M85" s="25">
        <f t="shared" si="29"/>
        <v>140.49762955881445</v>
      </c>
      <c r="N85" s="16">
        <f t="shared" si="22"/>
        <v>76.397629558814458</v>
      </c>
      <c r="O85" s="25">
        <f t="shared" si="23"/>
        <v>-38.511699020622174</v>
      </c>
      <c r="P85" s="25">
        <f t="shared" si="24"/>
        <v>3775647.2504261695</v>
      </c>
      <c r="Q85" s="25">
        <f t="shared" si="25"/>
        <v>-1903286.6772981684</v>
      </c>
      <c r="R85" s="26">
        <f t="shared" si="17"/>
        <v>45.282267483645555</v>
      </c>
      <c r="S85" s="16">
        <f t="shared" si="18"/>
        <v>-31.232738105126586</v>
      </c>
      <c r="T85" s="35">
        <v>49421</v>
      </c>
      <c r="U85" s="26">
        <f t="shared" si="19"/>
        <v>2237894.9413092472</v>
      </c>
      <c r="V85" s="26">
        <f t="shared" si="20"/>
        <v>-1543553.149893461</v>
      </c>
    </row>
    <row r="86" spans="1:24" x14ac:dyDescent="0.15">
      <c r="A86">
        <f t="shared" si="30"/>
        <v>30</v>
      </c>
      <c r="C86" s="1">
        <v>0.21004932506034199</v>
      </c>
      <c r="E86" s="29">
        <f t="shared" si="15"/>
        <v>1.75</v>
      </c>
      <c r="F86" s="28">
        <f t="shared" si="16"/>
        <v>0</v>
      </c>
      <c r="G86" s="1">
        <v>81</v>
      </c>
      <c r="H86" s="21">
        <v>48458</v>
      </c>
      <c r="I86" s="16">
        <v>39</v>
      </c>
      <c r="J86" s="25">
        <f t="shared" si="26"/>
        <v>19.639069502719103</v>
      </c>
      <c r="K86" s="25">
        <f t="shared" si="27"/>
        <v>23.756621320600019</v>
      </c>
      <c r="L86" s="26">
        <f t="shared" si="28"/>
        <v>59.266886878242573</v>
      </c>
      <c r="M86" s="25">
        <f t="shared" si="29"/>
        <v>71.692856335291594</v>
      </c>
      <c r="N86" s="16">
        <f t="shared" si="22"/>
        <v>32.692856335291594</v>
      </c>
      <c r="O86" s="25">
        <f t="shared" si="23"/>
        <v>-19.360930497280897</v>
      </c>
      <c r="P86" s="25">
        <f t="shared" si="24"/>
        <v>1156705.949998952</v>
      </c>
      <c r="Q86" s="25">
        <f t="shared" si="25"/>
        <v>-685009.0819242954</v>
      </c>
      <c r="R86" s="26">
        <f t="shared" si="17"/>
        <v>20.266886878242573</v>
      </c>
      <c r="S86" s="16">
        <f t="shared" si="18"/>
        <v>-15.243378679399981</v>
      </c>
      <c r="T86" s="35">
        <v>35381</v>
      </c>
      <c r="U86" s="26">
        <f t="shared" si="19"/>
        <v>717062.72463910049</v>
      </c>
      <c r="V86" s="26">
        <f t="shared" si="20"/>
        <v>-539325.98105585075</v>
      </c>
    </row>
    <row r="87" spans="1:24" x14ac:dyDescent="0.15">
      <c r="A87">
        <f t="shared" si="30"/>
        <v>31</v>
      </c>
      <c r="C87" s="1">
        <v>0.32327447549514399</v>
      </c>
      <c r="E87" s="29">
        <f t="shared" si="15"/>
        <v>1.75</v>
      </c>
      <c r="F87" s="28">
        <f t="shared" si="16"/>
        <v>0</v>
      </c>
      <c r="G87" s="1">
        <v>82</v>
      </c>
      <c r="H87" s="21">
        <v>48488</v>
      </c>
      <c r="I87" s="16">
        <v>39</v>
      </c>
      <c r="J87" s="25">
        <f t="shared" si="26"/>
        <v>13.140375012909415</v>
      </c>
      <c r="K87" s="25">
        <f t="shared" si="27"/>
        <v>17.612891878884362</v>
      </c>
      <c r="L87" s="26">
        <f t="shared" si="28"/>
        <v>71.923711073447194</v>
      </c>
      <c r="M87" s="25">
        <f t="shared" si="29"/>
        <v>96.403987361108378</v>
      </c>
      <c r="N87" s="16">
        <f t="shared" si="22"/>
        <v>57.403987361108378</v>
      </c>
      <c r="O87" s="25">
        <f t="shared" si="23"/>
        <v>-25.859624987090584</v>
      </c>
      <c r="P87" s="25">
        <f t="shared" si="24"/>
        <v>2031010.4768233756</v>
      </c>
      <c r="Q87" s="25">
        <f t="shared" si="25"/>
        <v>-914939.39166825195</v>
      </c>
      <c r="R87" s="26">
        <f t="shared" si="17"/>
        <v>32.923711073447194</v>
      </c>
      <c r="S87" s="16">
        <f t="shared" si="18"/>
        <v>-21.387108121115638</v>
      </c>
      <c r="T87" s="35">
        <v>35381</v>
      </c>
      <c r="U87" s="26">
        <f t="shared" si="19"/>
        <v>1164873.8214896352</v>
      </c>
      <c r="V87" s="26">
        <f t="shared" si="20"/>
        <v>-756697.27243319235</v>
      </c>
    </row>
    <row r="88" spans="1:24" x14ac:dyDescent="0.15">
      <c r="A88">
        <f t="shared" si="30"/>
        <v>30</v>
      </c>
      <c r="C88" s="1">
        <v>0.33029793826201398</v>
      </c>
      <c r="E88" s="29">
        <f t="shared" si="15"/>
        <v>1.75</v>
      </c>
      <c r="F88" s="28">
        <f t="shared" si="16"/>
        <v>0</v>
      </c>
      <c r="G88" s="1">
        <v>83</v>
      </c>
      <c r="H88" s="21">
        <v>48519</v>
      </c>
      <c r="I88" s="16">
        <v>54.25</v>
      </c>
      <c r="J88" s="25">
        <f t="shared" si="26"/>
        <v>17.815447689782555</v>
      </c>
      <c r="K88" s="25">
        <f t="shared" si="27"/>
        <v>24.031655808718853</v>
      </c>
      <c r="L88" s="26">
        <f t="shared" si="28"/>
        <v>101.18138098186016</v>
      </c>
      <c r="M88" s="25">
        <f t="shared" si="29"/>
        <v>136.48582760013667</v>
      </c>
      <c r="N88" s="16">
        <f t="shared" si="22"/>
        <v>82.235827600136673</v>
      </c>
      <c r="O88" s="25">
        <f t="shared" si="23"/>
        <v>-36.434552310217441</v>
      </c>
      <c r="P88" s="25">
        <f t="shared" si="24"/>
        <v>3879392.9312088476</v>
      </c>
      <c r="Q88" s="25">
        <f t="shared" si="25"/>
        <v>-1718763.5706821976</v>
      </c>
      <c r="R88" s="26">
        <f t="shared" si="17"/>
        <v>46.931380981860158</v>
      </c>
      <c r="S88" s="16">
        <f t="shared" si="18"/>
        <v>-30.218344191281147</v>
      </c>
      <c r="T88" s="35">
        <v>47174</v>
      </c>
      <c r="U88" s="26">
        <f t="shared" si="19"/>
        <v>2213940.9664382711</v>
      </c>
      <c r="V88" s="26">
        <f t="shared" si="20"/>
        <v>-1425520.1688794969</v>
      </c>
    </row>
    <row r="89" spans="1:24" x14ac:dyDescent="0.15">
      <c r="A89">
        <f t="shared" si="30"/>
        <v>31</v>
      </c>
      <c r="C89" s="1">
        <v>0.225297601015571</v>
      </c>
      <c r="E89" s="29">
        <f t="shared" si="15"/>
        <v>1.75</v>
      </c>
      <c r="F89" s="28">
        <f t="shared" si="16"/>
        <v>0</v>
      </c>
      <c r="G89" s="1">
        <v>84</v>
      </c>
      <c r="H89" s="21">
        <v>48549</v>
      </c>
      <c r="I89" s="16">
        <v>89.75</v>
      </c>
      <c r="J89" s="25">
        <f t="shared" si="26"/>
        <v>42.87028962029806</v>
      </c>
      <c r="K89" s="25">
        <f t="shared" si="27"/>
        <v>52.580058076449781</v>
      </c>
      <c r="L89" s="26">
        <f t="shared" si="28"/>
        <v>140.17489109808832</v>
      </c>
      <c r="M89" s="25">
        <f t="shared" si="29"/>
        <v>171.92335251469342</v>
      </c>
      <c r="N89" s="16">
        <f t="shared" si="22"/>
        <v>82.17335251469342</v>
      </c>
      <c r="O89" s="25">
        <f t="shared" si="23"/>
        <v>-46.87971037970194</v>
      </c>
      <c r="P89" s="25">
        <f t="shared" si="24"/>
        <v>4245650.6043766653</v>
      </c>
      <c r="Q89" s="25">
        <f t="shared" si="25"/>
        <v>-2422133.9961880604</v>
      </c>
      <c r="R89" s="26">
        <f t="shared" si="17"/>
        <v>50.424891098088324</v>
      </c>
      <c r="S89" s="16">
        <f t="shared" si="18"/>
        <v>-37.169941923550219</v>
      </c>
      <c r="T89" s="35">
        <v>51667</v>
      </c>
      <c r="U89" s="26">
        <f t="shared" si="19"/>
        <v>2605302.8483649292</v>
      </c>
      <c r="V89" s="26">
        <f t="shared" si="20"/>
        <v>-1920459.3893640691</v>
      </c>
    </row>
    <row r="90" spans="1:24" x14ac:dyDescent="0.15">
      <c r="E90" s="29"/>
      <c r="J90" s="1"/>
      <c r="K90" s="1"/>
      <c r="L90" s="1"/>
      <c r="M90" s="1"/>
      <c r="N90" s="1"/>
    </row>
    <row r="91" spans="1:24" x14ac:dyDescent="0.15">
      <c r="E91" s="29"/>
      <c r="J91" s="1"/>
      <c r="K91" s="1"/>
      <c r="L91" s="1"/>
      <c r="M91" s="1"/>
      <c r="N91" s="1"/>
    </row>
    <row r="92" spans="1:24" x14ac:dyDescent="0.15">
      <c r="E92" s="29"/>
      <c r="J92" s="1"/>
      <c r="K92" s="1"/>
      <c r="L92" s="1"/>
      <c r="M92" s="1"/>
      <c r="N92" s="1"/>
    </row>
    <row r="93" spans="1:24" x14ac:dyDescent="0.15">
      <c r="J93" s="1"/>
      <c r="K93" s="1"/>
      <c r="L93" s="1"/>
      <c r="M93" s="1"/>
      <c r="N93" s="1"/>
    </row>
    <row r="94" spans="1:24" x14ac:dyDescent="0.15">
      <c r="J94" s="1"/>
      <c r="K94" s="1"/>
      <c r="L94" s="1"/>
      <c r="M94" s="1"/>
      <c r="N94" s="1"/>
    </row>
    <row r="95" spans="1:24" x14ac:dyDescent="0.15">
      <c r="J95" s="1"/>
      <c r="K95" s="1"/>
      <c r="L95" s="1"/>
      <c r="M95" s="1"/>
      <c r="N95" s="1"/>
    </row>
    <row r="96" spans="1:24" x14ac:dyDescent="0.15">
      <c r="J96" s="1"/>
      <c r="K96" s="1"/>
      <c r="L96" s="1"/>
      <c r="M96" s="1"/>
      <c r="N96" s="1"/>
    </row>
    <row r="97" s="1" customFormat="1" x14ac:dyDescent="0.15"/>
  </sheetData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50A8-BA9B-48A7-AC07-49D158D6DD3C}">
  <dimension ref="A1:X89"/>
  <sheetViews>
    <sheetView zoomScaleNormal="100" workbookViewId="0">
      <selection activeCell="U17" sqref="U17:U41"/>
    </sheetView>
  </sheetViews>
  <sheetFormatPr defaultRowHeight="10.5" x14ac:dyDescent="0.15"/>
  <cols>
    <col min="1" max="1" width="12.33203125" style="1" bestFit="1" customWidth="1"/>
    <col min="2" max="2" width="7.1640625" style="1" bestFit="1" customWidth="1"/>
    <col min="3" max="3" width="7.1640625" style="1" customWidth="1"/>
    <col min="4" max="4" width="9.1640625" style="1" bestFit="1" customWidth="1"/>
    <col min="5" max="5" width="5.83203125" style="1" bestFit="1" customWidth="1"/>
    <col min="6" max="6" width="12.1640625" style="1" bestFit="1" customWidth="1"/>
    <col min="7" max="7" width="9.83203125" style="1" bestFit="1" customWidth="1"/>
    <col min="8" max="8" width="10.5" style="1" bestFit="1" customWidth="1"/>
    <col min="9" max="9" width="14.5" style="1" customWidth="1"/>
    <col min="10" max="10" width="11.33203125" style="4" bestFit="1" customWidth="1"/>
    <col min="11" max="11" width="11.33203125" style="4" customWidth="1"/>
    <col min="12" max="12" width="11.6640625" style="4" customWidth="1"/>
    <col min="13" max="13" width="13.5" style="4" bestFit="1" customWidth="1"/>
    <col min="14" max="14" width="16.5" style="4" bestFit="1" customWidth="1"/>
    <col min="15" max="15" width="19.33203125" style="1" bestFit="1" customWidth="1"/>
    <col min="16" max="16" width="19.83203125" style="1" bestFit="1" customWidth="1"/>
    <col min="17" max="17" width="23.1640625" style="1" bestFit="1" customWidth="1"/>
    <col min="18" max="18" width="22" style="1" bestFit="1" customWidth="1"/>
    <col min="19" max="20" width="22" style="1" customWidth="1"/>
    <col min="21" max="21" width="20.33203125" style="1" bestFit="1" customWidth="1"/>
    <col min="22" max="22" width="23.1640625" style="1" bestFit="1" customWidth="1"/>
    <col min="23" max="23" width="20.33203125" style="1" customWidth="1"/>
    <col min="24" max="24" width="13.6640625" style="1" bestFit="1" customWidth="1"/>
    <col min="25" max="25" width="9.33203125" style="1"/>
    <col min="26" max="26" width="15.6640625" style="1" bestFit="1" customWidth="1"/>
    <col min="27" max="37" width="9.33203125" style="1"/>
    <col min="38" max="38" width="9.5" style="1" bestFit="1" customWidth="1"/>
    <col min="39" max="39" width="14.5" style="1" bestFit="1" customWidth="1"/>
    <col min="40" max="41" width="11.33203125" style="1" bestFit="1" customWidth="1"/>
    <col min="42" max="43" width="11.6640625" style="1" bestFit="1" customWidth="1"/>
    <col min="44" max="16384" width="9.33203125" style="1"/>
  </cols>
  <sheetData>
    <row r="1" spans="1:24" x14ac:dyDescent="0.15">
      <c r="C1" s="2" t="s">
        <v>4</v>
      </c>
      <c r="D1" s="22" t="s">
        <v>0</v>
      </c>
      <c r="E1" s="22"/>
      <c r="F1" s="23" t="s">
        <v>16</v>
      </c>
      <c r="G1" s="23" t="s">
        <v>15</v>
      </c>
      <c r="O1" s="5"/>
      <c r="P1" s="5"/>
      <c r="Q1" s="5"/>
      <c r="U1" s="1" t="s">
        <v>18</v>
      </c>
      <c r="V1" s="1" t="s">
        <v>19</v>
      </c>
    </row>
    <row r="2" spans="1:24" x14ac:dyDescent="0.15">
      <c r="C2" s="31">
        <v>1</v>
      </c>
      <c r="D2" s="22">
        <v>0.02</v>
      </c>
      <c r="E2" s="22"/>
      <c r="F2" s="22">
        <v>2.33</v>
      </c>
      <c r="G2" s="24">
        <v>1.645</v>
      </c>
      <c r="O2" s="7"/>
      <c r="U2" s="8">
        <f>SUM(U6:U41)</f>
        <v>3574069.6337552965</v>
      </c>
      <c r="V2" s="8">
        <f>SUM(V6:V41)</f>
        <v>-2654132.2109751427</v>
      </c>
    </row>
    <row r="3" spans="1:24" x14ac:dyDescent="0.15">
      <c r="G3" s="2"/>
      <c r="J3" s="3"/>
    </row>
    <row r="5" spans="1:24" x14ac:dyDescent="0.15">
      <c r="A5" s="1" t="s">
        <v>21</v>
      </c>
      <c r="B5" s="9"/>
      <c r="C5" s="9" t="s">
        <v>1</v>
      </c>
      <c r="D5" s="9"/>
      <c r="E5" s="9" t="s">
        <v>4</v>
      </c>
      <c r="F5" s="9" t="s">
        <v>0</v>
      </c>
      <c r="G5" s="9"/>
      <c r="H5" s="10" t="s">
        <v>2</v>
      </c>
      <c r="I5" s="10" t="s">
        <v>3</v>
      </c>
      <c r="J5" s="11" t="s">
        <v>5</v>
      </c>
      <c r="K5" s="11" t="s">
        <v>6</v>
      </c>
      <c r="L5" s="11" t="s">
        <v>7</v>
      </c>
      <c r="M5" s="10" t="s">
        <v>8</v>
      </c>
      <c r="N5" s="11" t="s">
        <v>9</v>
      </c>
      <c r="O5" s="11" t="s">
        <v>20</v>
      </c>
      <c r="P5" s="11" t="s">
        <v>10</v>
      </c>
      <c r="Q5" s="11" t="s">
        <v>22</v>
      </c>
      <c r="R5" s="11" t="s">
        <v>11</v>
      </c>
      <c r="S5" s="11" t="s">
        <v>12</v>
      </c>
      <c r="T5" s="11" t="s">
        <v>14</v>
      </c>
      <c r="U5" s="20" t="s">
        <v>13</v>
      </c>
      <c r="V5" s="20" t="s">
        <v>17</v>
      </c>
      <c r="W5" s="12"/>
      <c r="X5" s="12"/>
    </row>
    <row r="6" spans="1:24" x14ac:dyDescent="0.15">
      <c r="A6">
        <f>DAY(EOMONTH(H6,0))</f>
        <v>31</v>
      </c>
      <c r="C6" s="32">
        <v>0.16195236662578899</v>
      </c>
      <c r="D6" s="13"/>
      <c r="E6" s="29">
        <f>G6/12</f>
        <v>8.3333333333333329E-2</v>
      </c>
      <c r="F6" s="28">
        <f t="shared" ref="F6:F41" si="0">$D$2</f>
        <v>0.02</v>
      </c>
      <c r="G6" s="1">
        <v>1</v>
      </c>
      <c r="H6" s="21">
        <v>46023</v>
      </c>
      <c r="I6" s="16">
        <v>133.85238095238</v>
      </c>
      <c r="J6" s="25">
        <f>$I6*EXP(($F6-0.5*$C6^2)*$E6-$C6*SQRT($E6)*$F$2)</f>
        <v>120.10664905023809</v>
      </c>
      <c r="K6" s="25">
        <f>$I6*EXP(($F6-0.5*$C6^2)*$E6-$C6*SQRT($E6)*$G$2)</f>
        <v>124.01530069755563</v>
      </c>
      <c r="L6" s="25">
        <f>$I6*EXP(($F6-0.5*$C6^2)*$E6+$C6*SQRT($E6)*$G$2)</f>
        <v>144.63564465574657</v>
      </c>
      <c r="M6" s="25">
        <f>$I6*EXP(($F6-0.5*$C6^2)*$E6+$C6*SQRT($E6)*$F$2)</f>
        <v>149.34254768913365</v>
      </c>
      <c r="N6" s="25">
        <f>M6-I6</f>
        <v>15.49016673675365</v>
      </c>
      <c r="O6" s="25">
        <f>J6-I6</f>
        <v>-13.745731902141912</v>
      </c>
      <c r="P6" s="25">
        <f>N6*T6</f>
        <v>117551.77733187596</v>
      </c>
      <c r="Q6" s="25">
        <f>O6*T6</f>
        <v>-104313.61025897441</v>
      </c>
      <c r="R6" s="25">
        <f t="shared" ref="R6:R41" si="1">L6-I6</f>
        <v>10.783263703366572</v>
      </c>
      <c r="S6" s="25">
        <f t="shared" ref="S6:S69" si="2">K6-I6</f>
        <v>-9.8370802548243717</v>
      </c>
      <c r="T6" s="16">
        <v>7588.7999999999902</v>
      </c>
      <c r="U6" s="26">
        <f t="shared" ref="U6:U41" si="3">R6*T6</f>
        <v>81832.031592108135</v>
      </c>
      <c r="V6" s="26">
        <f t="shared" ref="V6:V41" si="4">S6*T6</f>
        <v>-74651.63463781109</v>
      </c>
      <c r="W6" s="17"/>
      <c r="X6" s="18"/>
    </row>
    <row r="7" spans="1:24" x14ac:dyDescent="0.15">
      <c r="A7">
        <f t="shared" ref="A7:A70" si="5">DAY(EOMONTH(H7,0))</f>
        <v>28</v>
      </c>
      <c r="B7" s="19"/>
      <c r="C7" s="32">
        <v>0.16396041852429599</v>
      </c>
      <c r="D7" s="13"/>
      <c r="E7" s="29">
        <f t="shared" ref="E7:E16" si="6">G7/12</f>
        <v>0.16666666666666666</v>
      </c>
      <c r="F7" s="28">
        <f t="shared" si="0"/>
        <v>0.02</v>
      </c>
      <c r="G7" s="1">
        <v>2</v>
      </c>
      <c r="H7" s="21">
        <v>46054</v>
      </c>
      <c r="I7" s="16">
        <v>116.85238095238</v>
      </c>
      <c r="J7" s="25">
        <f>$I7*EXP(($F7-0.5*$C7^2)*$E7-$C7*SQRT($E7)*$F$2)</f>
        <v>100.08725270068736</v>
      </c>
      <c r="K7" s="25">
        <f t="shared" ref="K7:K70" si="7">$I7*EXP(($F7-0.5*$C7^2)*$E7-$C7*SQRT($E7)*$G$2)</f>
        <v>104.78324430855987</v>
      </c>
      <c r="L7" s="25">
        <f t="shared" ref="L7:L41" si="8">$I7*EXP(($F7-0.5*$C7^2)*$E7+$C7*SQRT($E7)*$G$2)</f>
        <v>130.59685832068769</v>
      </c>
      <c r="M7" s="25">
        <f t="shared" ref="M7:M41" si="9">$I7*EXP(($F7-0.5*$C7^2)*$E7+$C7*SQRT($E7)*$F$2)</f>
        <v>136.72432944353386</v>
      </c>
      <c r="N7" s="25">
        <f t="shared" ref="N7:N70" si="10">M7-I7</f>
        <v>19.871948491153859</v>
      </c>
      <c r="O7" s="25">
        <f t="shared" ref="O7:O41" si="11">J7-I7</f>
        <v>-16.765128251692644</v>
      </c>
      <c r="P7" s="25">
        <f t="shared" ref="P7:P70" si="12">N7*T7</f>
        <v>137545.67867637056</v>
      </c>
      <c r="Q7" s="25">
        <f t="shared" ref="Q7:Q70" si="13">O7*T7</f>
        <v>-116041.51170691582</v>
      </c>
      <c r="R7" s="25">
        <f t="shared" si="1"/>
        <v>13.744477368307685</v>
      </c>
      <c r="S7" s="25">
        <f t="shared" si="2"/>
        <v>-12.06913664382013</v>
      </c>
      <c r="T7" s="16">
        <v>6921.6</v>
      </c>
      <c r="U7" s="26">
        <f t="shared" si="3"/>
        <v>95133.77455247847</v>
      </c>
      <c r="V7" s="26">
        <f t="shared" si="4"/>
        <v>-83537.736193865421</v>
      </c>
      <c r="W7" s="17"/>
      <c r="X7" s="18"/>
    </row>
    <row r="8" spans="1:24" x14ac:dyDescent="0.15">
      <c r="A8">
        <f t="shared" si="5"/>
        <v>31</v>
      </c>
      <c r="B8" s="19"/>
      <c r="C8" s="32">
        <v>0.14345329118790001</v>
      </c>
      <c r="D8" s="13"/>
      <c r="E8" s="29">
        <f t="shared" si="6"/>
        <v>0.25</v>
      </c>
      <c r="F8" s="28">
        <f t="shared" si="0"/>
        <v>0.02</v>
      </c>
      <c r="G8" s="1">
        <v>3</v>
      </c>
      <c r="H8" s="21">
        <v>46082</v>
      </c>
      <c r="I8" s="16">
        <v>66.642857142857096</v>
      </c>
      <c r="J8" s="25">
        <f t="shared" ref="J8:J41" si="14">$I8*EXP(($F8-0.5*$C8^2)*$E8-$C8*SQRT($E8)*$F$2)</f>
        <v>56.5232710957047</v>
      </c>
      <c r="K8" s="25">
        <f t="shared" si="7"/>
        <v>59.369770541530656</v>
      </c>
      <c r="L8" s="25">
        <f t="shared" si="8"/>
        <v>75.17102473950942</v>
      </c>
      <c r="M8" s="25">
        <f t="shared" si="9"/>
        <v>78.956620939362821</v>
      </c>
      <c r="N8" s="25">
        <f t="shared" si="10"/>
        <v>12.313763796505725</v>
      </c>
      <c r="O8" s="25">
        <f t="shared" si="11"/>
        <v>-10.119586047152396</v>
      </c>
      <c r="P8" s="25">
        <f t="shared" si="12"/>
        <v>103524.27498998294</v>
      </c>
      <c r="Q8" s="25">
        <f t="shared" si="13"/>
        <v>-85077.383815619629</v>
      </c>
      <c r="R8" s="25">
        <f t="shared" si="1"/>
        <v>8.5281675966523238</v>
      </c>
      <c r="S8" s="25">
        <f t="shared" si="2"/>
        <v>-7.2730866013264404</v>
      </c>
      <c r="T8" s="16">
        <v>8407.2000000000007</v>
      </c>
      <c r="U8" s="26">
        <f t="shared" si="3"/>
        <v>71698.010618575427</v>
      </c>
      <c r="V8" s="26">
        <f t="shared" si="4"/>
        <v>-61146.293674671651</v>
      </c>
      <c r="W8" s="17"/>
      <c r="X8" s="18"/>
    </row>
    <row r="9" spans="1:24" x14ac:dyDescent="0.15">
      <c r="A9">
        <f t="shared" si="5"/>
        <v>30</v>
      </c>
      <c r="B9" s="19"/>
      <c r="C9" s="32">
        <v>0.134468741976598</v>
      </c>
      <c r="D9" s="13"/>
      <c r="E9" s="29">
        <f t="shared" si="6"/>
        <v>0.33333333333333331</v>
      </c>
      <c r="F9" s="28">
        <f t="shared" si="0"/>
        <v>0.02</v>
      </c>
      <c r="G9" s="1">
        <v>4</v>
      </c>
      <c r="H9" s="21">
        <v>46113</v>
      </c>
      <c r="I9" s="16">
        <v>49.65</v>
      </c>
      <c r="J9" s="25">
        <f t="shared" si="14"/>
        <v>41.585874392404406</v>
      </c>
      <c r="K9" s="25">
        <f t="shared" si="7"/>
        <v>43.857288234882603</v>
      </c>
      <c r="L9" s="25">
        <f t="shared" si="8"/>
        <v>56.619979642136201</v>
      </c>
      <c r="M9" s="25">
        <f t="shared" si="9"/>
        <v>59.712553921239781</v>
      </c>
      <c r="N9" s="25">
        <f t="shared" si="10"/>
        <v>10.062553921239783</v>
      </c>
      <c r="O9" s="25">
        <f t="shared" si="11"/>
        <v>-8.0641256075955923</v>
      </c>
      <c r="P9" s="25">
        <f t="shared" si="12"/>
        <v>88389.473644170255</v>
      </c>
      <c r="Q9" s="25">
        <f t="shared" si="13"/>
        <v>-70835.279337119689</v>
      </c>
      <c r="R9" s="25">
        <f t="shared" si="1"/>
        <v>6.9699796421362024</v>
      </c>
      <c r="S9" s="25">
        <f t="shared" si="2"/>
        <v>-5.7927117651173958</v>
      </c>
      <c r="T9" s="16">
        <v>8784</v>
      </c>
      <c r="U9" s="26">
        <f t="shared" si="3"/>
        <v>61224.301176524401</v>
      </c>
      <c r="V9" s="26">
        <f t="shared" si="4"/>
        <v>-50883.180144791208</v>
      </c>
      <c r="W9" s="17"/>
      <c r="X9" s="18"/>
    </row>
    <row r="10" spans="1:24" x14ac:dyDescent="0.15">
      <c r="A10">
        <f t="shared" si="5"/>
        <v>31</v>
      </c>
      <c r="B10" s="19"/>
      <c r="C10" s="32">
        <v>0.14955284024587701</v>
      </c>
      <c r="D10" s="13"/>
      <c r="E10" s="29">
        <f t="shared" si="6"/>
        <v>0.41666666666666669</v>
      </c>
      <c r="F10" s="28">
        <f t="shared" si="0"/>
        <v>0.02</v>
      </c>
      <c r="G10" s="1">
        <v>5</v>
      </c>
      <c r="H10" s="21">
        <v>46143</v>
      </c>
      <c r="I10" s="16">
        <v>45.1666666666666</v>
      </c>
      <c r="J10" s="25">
        <f t="shared" si="14"/>
        <v>36.201637151263007</v>
      </c>
      <c r="K10" s="25">
        <f t="shared" si="7"/>
        <v>38.67647229502083</v>
      </c>
      <c r="L10" s="25">
        <f t="shared" si="8"/>
        <v>53.134940099661044</v>
      </c>
      <c r="M10" s="25">
        <f t="shared" si="9"/>
        <v>56.767378504881627</v>
      </c>
      <c r="N10" s="25">
        <f t="shared" si="10"/>
        <v>11.600711838215027</v>
      </c>
      <c r="O10" s="25">
        <f t="shared" si="11"/>
        <v>-8.9650295154035931</v>
      </c>
      <c r="P10" s="25">
        <f t="shared" si="12"/>
        <v>98392.597527004575</v>
      </c>
      <c r="Q10" s="25">
        <f t="shared" si="13"/>
        <v>-76037.794337847125</v>
      </c>
      <c r="R10" s="25">
        <f t="shared" si="1"/>
        <v>7.9682734329944438</v>
      </c>
      <c r="S10" s="25">
        <f t="shared" si="2"/>
        <v>-6.4901943716457708</v>
      </c>
      <c r="T10" s="16">
        <v>8481.6</v>
      </c>
      <c r="U10" s="26">
        <f t="shared" si="3"/>
        <v>67583.707949285672</v>
      </c>
      <c r="V10" s="26">
        <f t="shared" si="4"/>
        <v>-55047.232582550772</v>
      </c>
      <c r="W10" s="17"/>
      <c r="X10" s="18"/>
    </row>
    <row r="11" spans="1:24" x14ac:dyDescent="0.15">
      <c r="A11">
        <f t="shared" si="5"/>
        <v>30</v>
      </c>
      <c r="B11" s="19"/>
      <c r="C11" s="32">
        <v>0.14300803476276</v>
      </c>
      <c r="D11" s="13"/>
      <c r="E11" s="29">
        <f t="shared" si="6"/>
        <v>0.5</v>
      </c>
      <c r="F11" s="28">
        <f t="shared" si="0"/>
        <v>0.02</v>
      </c>
      <c r="G11" s="1">
        <v>6</v>
      </c>
      <c r="H11" s="21">
        <v>46174</v>
      </c>
      <c r="I11" s="16">
        <v>52.619047619047599</v>
      </c>
      <c r="J11" s="25">
        <f t="shared" si="14"/>
        <v>41.777219609733748</v>
      </c>
      <c r="K11" s="25">
        <f t="shared" si="7"/>
        <v>44.773647553340119</v>
      </c>
      <c r="L11" s="25">
        <f t="shared" si="8"/>
        <v>62.446548158445964</v>
      </c>
      <c r="M11" s="25">
        <f t="shared" si="9"/>
        <v>66.92546235215481</v>
      </c>
      <c r="N11" s="25">
        <f t="shared" si="10"/>
        <v>14.306414733107211</v>
      </c>
      <c r="O11" s="25">
        <f t="shared" si="11"/>
        <v>-10.841828009313851</v>
      </c>
      <c r="P11" s="25">
        <f t="shared" si="12"/>
        <v>84465.072584264824</v>
      </c>
      <c r="Q11" s="25">
        <f t="shared" si="13"/>
        <v>-64010.152566988865</v>
      </c>
      <c r="R11" s="25">
        <f t="shared" si="1"/>
        <v>9.8275005393983648</v>
      </c>
      <c r="S11" s="25">
        <f t="shared" si="2"/>
        <v>-7.8454000657074801</v>
      </c>
      <c r="T11" s="16">
        <v>5903.99999999999</v>
      </c>
      <c r="U11" s="26">
        <f t="shared" si="3"/>
        <v>58021.563184607847</v>
      </c>
      <c r="V11" s="26">
        <f t="shared" si="4"/>
        <v>-46319.241987936883</v>
      </c>
      <c r="W11" s="17"/>
      <c r="X11" s="18"/>
    </row>
    <row r="12" spans="1:24" x14ac:dyDescent="0.15">
      <c r="A12">
        <f t="shared" si="5"/>
        <v>31</v>
      </c>
      <c r="B12" s="19"/>
      <c r="C12" s="32">
        <v>9.9105650914121199E-2</v>
      </c>
      <c r="D12" s="13"/>
      <c r="E12" s="29">
        <f t="shared" si="6"/>
        <v>0.58333333333333337</v>
      </c>
      <c r="F12" s="28">
        <f t="shared" si="0"/>
        <v>0.02</v>
      </c>
      <c r="G12" s="1">
        <v>7</v>
      </c>
      <c r="H12" s="21">
        <v>46204</v>
      </c>
      <c r="I12" s="16">
        <v>75.059523809523796</v>
      </c>
      <c r="J12" s="25">
        <f t="shared" si="14"/>
        <v>63.479578208953683</v>
      </c>
      <c r="K12" s="25">
        <f t="shared" si="7"/>
        <v>66.857807438116595</v>
      </c>
      <c r="L12" s="25">
        <f t="shared" si="8"/>
        <v>85.763944090505191</v>
      </c>
      <c r="M12" s="25">
        <f t="shared" si="9"/>
        <v>90.328093237513428</v>
      </c>
      <c r="N12" s="25">
        <f t="shared" si="10"/>
        <v>15.268569427989632</v>
      </c>
      <c r="O12" s="25">
        <f t="shared" si="11"/>
        <v>-11.579945600570113</v>
      </c>
      <c r="P12" s="25">
        <f t="shared" si="12"/>
        <v>57935.059837563713</v>
      </c>
      <c r="Q12" s="25">
        <f t="shared" si="13"/>
        <v>-43938.945586803122</v>
      </c>
      <c r="R12" s="25">
        <f t="shared" si="1"/>
        <v>10.704420280981395</v>
      </c>
      <c r="S12" s="25">
        <f t="shared" si="2"/>
        <v>-8.2017163714072012</v>
      </c>
      <c r="T12" s="16">
        <v>3794.3999999999901</v>
      </c>
      <c r="U12" s="26">
        <f t="shared" si="3"/>
        <v>40616.852314155702</v>
      </c>
      <c r="V12" s="26">
        <f t="shared" si="4"/>
        <v>-31120.592599667401</v>
      </c>
      <c r="W12" s="17"/>
      <c r="X12" s="18"/>
    </row>
    <row r="13" spans="1:24" x14ac:dyDescent="0.15">
      <c r="A13">
        <f t="shared" si="5"/>
        <v>31</v>
      </c>
      <c r="B13" s="19"/>
      <c r="C13" s="32">
        <v>0.11899563962656701</v>
      </c>
      <c r="D13" s="13"/>
      <c r="E13" s="29">
        <f t="shared" si="6"/>
        <v>0.66666666666666663</v>
      </c>
      <c r="F13" s="28">
        <f t="shared" si="0"/>
        <v>0.02</v>
      </c>
      <c r="G13" s="1">
        <v>8</v>
      </c>
      <c r="H13" s="21">
        <v>46235</v>
      </c>
      <c r="I13" s="16">
        <v>61.790476190476099</v>
      </c>
      <c r="J13" s="25">
        <f t="shared" si="14"/>
        <v>49.698804570030411</v>
      </c>
      <c r="K13" s="25">
        <f t="shared" si="7"/>
        <v>53.119025510055948</v>
      </c>
      <c r="L13" s="25">
        <f t="shared" si="8"/>
        <v>73.126441865432184</v>
      </c>
      <c r="M13" s="25">
        <f t="shared" si="9"/>
        <v>78.158928861880639</v>
      </c>
      <c r="N13" s="25">
        <f t="shared" si="10"/>
        <v>16.36845267140454</v>
      </c>
      <c r="O13" s="25">
        <f t="shared" si="11"/>
        <v>-12.091671620445688</v>
      </c>
      <c r="P13" s="25">
        <f t="shared" si="12"/>
        <v>32880.947726317441</v>
      </c>
      <c r="Q13" s="25">
        <f t="shared" si="13"/>
        <v>-24289.749951151298</v>
      </c>
      <c r="R13" s="25">
        <f t="shared" si="1"/>
        <v>11.335965674956086</v>
      </c>
      <c r="S13" s="25">
        <f t="shared" si="2"/>
        <v>-8.6714506804201505</v>
      </c>
      <c r="T13" s="16">
        <v>2008.8</v>
      </c>
      <c r="U13" s="26">
        <f t="shared" si="3"/>
        <v>22771.687847851783</v>
      </c>
      <c r="V13" s="26">
        <f t="shared" si="4"/>
        <v>-17419.210126827998</v>
      </c>
      <c r="W13" s="17"/>
      <c r="X13" s="18"/>
    </row>
    <row r="14" spans="1:24" x14ac:dyDescent="0.15">
      <c r="A14">
        <f t="shared" si="5"/>
        <v>30</v>
      </c>
      <c r="B14" s="19"/>
      <c r="C14" s="32">
        <v>0.122454631758767</v>
      </c>
      <c r="D14" s="13"/>
      <c r="E14" s="29">
        <f t="shared" si="6"/>
        <v>0.75</v>
      </c>
      <c r="F14" s="28">
        <f t="shared" si="0"/>
        <v>0.02</v>
      </c>
      <c r="G14" s="1">
        <v>9</v>
      </c>
      <c r="H14" s="21">
        <v>46266</v>
      </c>
      <c r="I14" s="16">
        <v>48.5833333333333</v>
      </c>
      <c r="J14" s="25">
        <f t="shared" si="14"/>
        <v>38.304355302360015</v>
      </c>
      <c r="K14" s="25">
        <f t="shared" si="7"/>
        <v>41.190475325086936</v>
      </c>
      <c r="L14" s="25">
        <f t="shared" si="8"/>
        <v>58.387841361669778</v>
      </c>
      <c r="M14" s="25">
        <f t="shared" si="9"/>
        <v>62.787192733270473</v>
      </c>
      <c r="N14" s="25">
        <f t="shared" si="10"/>
        <v>14.203859399937173</v>
      </c>
      <c r="O14" s="25">
        <f t="shared" si="11"/>
        <v>-10.278978030973285</v>
      </c>
      <c r="P14" s="25">
        <f t="shared" si="12"/>
        <v>46020.504455796443</v>
      </c>
      <c r="Q14" s="25">
        <f t="shared" si="13"/>
        <v>-33303.888820353444</v>
      </c>
      <c r="R14" s="25">
        <f t="shared" si="1"/>
        <v>9.8045080283364783</v>
      </c>
      <c r="S14" s="25">
        <f t="shared" si="2"/>
        <v>-7.392858008246364</v>
      </c>
      <c r="T14" s="16">
        <v>3240</v>
      </c>
      <c r="U14" s="26">
        <f t="shared" si="3"/>
        <v>31766.606011810189</v>
      </c>
      <c r="V14" s="26">
        <f t="shared" si="4"/>
        <v>-23952.859946718218</v>
      </c>
      <c r="W14" s="17"/>
      <c r="X14" s="18"/>
    </row>
    <row r="15" spans="1:24" x14ac:dyDescent="0.15">
      <c r="A15">
        <f t="shared" si="5"/>
        <v>31</v>
      </c>
      <c r="B15" s="19"/>
      <c r="C15" s="32">
        <v>0.13678220356377899</v>
      </c>
      <c r="D15" s="13"/>
      <c r="E15" s="29">
        <f t="shared" si="6"/>
        <v>0.83333333333333337</v>
      </c>
      <c r="F15" s="28">
        <f t="shared" si="0"/>
        <v>0.02</v>
      </c>
      <c r="G15" s="1">
        <v>10</v>
      </c>
      <c r="H15" s="21">
        <v>46296</v>
      </c>
      <c r="I15" s="16">
        <v>47.297619047619001</v>
      </c>
      <c r="J15" s="25">
        <f t="shared" si="14"/>
        <v>35.673095373887733</v>
      </c>
      <c r="K15" s="25">
        <f t="shared" si="7"/>
        <v>38.858582038249693</v>
      </c>
      <c r="L15" s="25">
        <f t="shared" si="8"/>
        <v>58.599909387627797</v>
      </c>
      <c r="M15" s="25">
        <f t="shared" si="9"/>
        <v>63.83268293673077</v>
      </c>
      <c r="N15" s="25">
        <f t="shared" si="10"/>
        <v>16.535063889111768</v>
      </c>
      <c r="O15" s="25">
        <f t="shared" si="11"/>
        <v>-11.624523673731268</v>
      </c>
      <c r="P15" s="25">
        <f t="shared" si="12"/>
        <v>61510.437667495775</v>
      </c>
      <c r="Q15" s="25">
        <f t="shared" si="13"/>
        <v>-43243.228066280317</v>
      </c>
      <c r="R15" s="25">
        <f t="shared" si="1"/>
        <v>11.302290340008796</v>
      </c>
      <c r="S15" s="25">
        <f t="shared" si="2"/>
        <v>-8.4390370093693079</v>
      </c>
      <c r="T15" s="16">
        <v>3720</v>
      </c>
      <c r="U15" s="26">
        <f t="shared" si="3"/>
        <v>42044.520064832723</v>
      </c>
      <c r="V15" s="26">
        <f t="shared" si="4"/>
        <v>-31393.217674853826</v>
      </c>
      <c r="W15" s="17"/>
      <c r="X15" s="18"/>
    </row>
    <row r="16" spans="1:24" x14ac:dyDescent="0.15">
      <c r="A16">
        <f t="shared" si="5"/>
        <v>30</v>
      </c>
      <c r="B16" s="19"/>
      <c r="C16" s="32">
        <v>0.12781475040863699</v>
      </c>
      <c r="D16" s="13"/>
      <c r="E16" s="29">
        <f t="shared" si="6"/>
        <v>0.91666666666666663</v>
      </c>
      <c r="F16" s="28">
        <f t="shared" si="0"/>
        <v>0.02</v>
      </c>
      <c r="G16" s="1">
        <v>11</v>
      </c>
      <c r="H16" s="30">
        <v>46327</v>
      </c>
      <c r="I16" s="16">
        <v>63.297619047619001</v>
      </c>
      <c r="J16" s="25">
        <f t="shared" si="14"/>
        <v>48.113539789797422</v>
      </c>
      <c r="K16" s="25">
        <f t="shared" si="7"/>
        <v>52.320556584638915</v>
      </c>
      <c r="L16" s="25">
        <f t="shared" si="8"/>
        <v>78.256940704874921</v>
      </c>
      <c r="M16" s="25">
        <f t="shared" si="9"/>
        <v>85.099676976134205</v>
      </c>
      <c r="N16" s="25">
        <f t="shared" si="10"/>
        <v>21.802057928515204</v>
      </c>
      <c r="O16" s="25">
        <f t="shared" si="11"/>
        <v>-15.18407925782158</v>
      </c>
      <c r="P16" s="25">
        <f t="shared" si="12"/>
        <v>100463.88293459806</v>
      </c>
      <c r="Q16" s="25">
        <f t="shared" si="13"/>
        <v>-69968.237220041832</v>
      </c>
      <c r="R16" s="25">
        <f t="shared" si="1"/>
        <v>14.95932165725592</v>
      </c>
      <c r="S16" s="25">
        <f t="shared" si="2"/>
        <v>-10.977062462980086</v>
      </c>
      <c r="T16" s="16">
        <v>4608</v>
      </c>
      <c r="U16" s="26">
        <f t="shared" si="3"/>
        <v>68932.554196635276</v>
      </c>
      <c r="V16" s="26">
        <f t="shared" si="4"/>
        <v>-50582.303829412238</v>
      </c>
      <c r="W16" s="17"/>
      <c r="X16" s="18"/>
    </row>
    <row r="17" spans="1:24" x14ac:dyDescent="0.15">
      <c r="A17">
        <f t="shared" si="5"/>
        <v>31</v>
      </c>
      <c r="B17" s="19"/>
      <c r="C17" s="32">
        <v>0.136294315191095</v>
      </c>
      <c r="D17" s="13"/>
      <c r="E17" s="29">
        <f>$C$2</f>
        <v>1</v>
      </c>
      <c r="F17" s="28">
        <f t="shared" si="0"/>
        <v>0.02</v>
      </c>
      <c r="G17" s="1">
        <v>12</v>
      </c>
      <c r="H17" s="21">
        <v>46357</v>
      </c>
      <c r="I17" s="16">
        <v>97.869047619047606</v>
      </c>
      <c r="J17" s="25">
        <f t="shared" si="14"/>
        <v>72.007948714630245</v>
      </c>
      <c r="K17" s="25">
        <f t="shared" si="7"/>
        <v>79.054549773622242</v>
      </c>
      <c r="L17" s="25">
        <f t="shared" si="8"/>
        <v>123.78502783655325</v>
      </c>
      <c r="M17" s="25">
        <f t="shared" si="9"/>
        <v>135.8984642530969</v>
      </c>
      <c r="N17" s="25">
        <f t="shared" si="10"/>
        <v>38.029416634049298</v>
      </c>
      <c r="O17" s="25">
        <f t="shared" si="11"/>
        <v>-25.861098904417361</v>
      </c>
      <c r="P17" s="25">
        <f t="shared" si="12"/>
        <v>277280.08256218024</v>
      </c>
      <c r="Q17" s="25">
        <f t="shared" si="13"/>
        <v>-188558.44433188785</v>
      </c>
      <c r="R17" s="25">
        <f t="shared" si="1"/>
        <v>25.915980217505648</v>
      </c>
      <c r="S17" s="25">
        <f t="shared" si="2"/>
        <v>-18.814497845425365</v>
      </c>
      <c r="T17" s="16">
        <v>7291.2</v>
      </c>
      <c r="U17" s="26">
        <f t="shared" si="3"/>
        <v>188958.59496187718</v>
      </c>
      <c r="V17" s="26">
        <f t="shared" si="4"/>
        <v>-137180.26669056542</v>
      </c>
      <c r="W17" s="17"/>
      <c r="X17" s="18"/>
    </row>
    <row r="18" spans="1:24" x14ac:dyDescent="0.15">
      <c r="A18">
        <f t="shared" si="5"/>
        <v>31</v>
      </c>
      <c r="B18" s="19"/>
      <c r="C18" s="33">
        <v>0.16195236662578899</v>
      </c>
      <c r="D18" s="13"/>
      <c r="E18" s="29">
        <f t="shared" ref="E18:E41" si="15">$C$2</f>
        <v>1</v>
      </c>
      <c r="F18" s="28">
        <f t="shared" si="0"/>
        <v>0.02</v>
      </c>
      <c r="G18" s="1">
        <v>13</v>
      </c>
      <c r="H18" s="21">
        <v>46388</v>
      </c>
      <c r="I18" s="16">
        <v>133.578571428571</v>
      </c>
      <c r="J18" s="25">
        <f t="shared" si="14"/>
        <v>92.224567695471507</v>
      </c>
      <c r="K18" s="25">
        <f t="shared" si="7"/>
        <v>103.04480844866012</v>
      </c>
      <c r="L18" s="25">
        <f t="shared" si="8"/>
        <v>175.56111454460992</v>
      </c>
      <c r="M18" s="25">
        <f t="shared" si="9"/>
        <v>196.15880964623821</v>
      </c>
      <c r="N18" s="25">
        <f t="shared" si="10"/>
        <v>62.580238217667215</v>
      </c>
      <c r="O18" s="25">
        <f t="shared" si="11"/>
        <v>-41.354003733099489</v>
      </c>
      <c r="P18" s="25">
        <f t="shared" si="12"/>
        <v>474908.91178623238</v>
      </c>
      <c r="Q18" s="25">
        <f t="shared" si="13"/>
        <v>-313827.26352974499</v>
      </c>
      <c r="R18" s="25">
        <f t="shared" si="1"/>
        <v>41.982543116038926</v>
      </c>
      <c r="S18" s="25">
        <f t="shared" si="2"/>
        <v>-30.533762979910875</v>
      </c>
      <c r="T18" s="16">
        <v>7588.7999999999902</v>
      </c>
      <c r="U18" s="26">
        <f t="shared" si="3"/>
        <v>318597.12319899577</v>
      </c>
      <c r="V18" s="26">
        <f t="shared" si="4"/>
        <v>-231714.62050194736</v>
      </c>
      <c r="W18" s="17"/>
      <c r="X18" s="18"/>
    </row>
    <row r="19" spans="1:24" x14ac:dyDescent="0.15">
      <c r="A19">
        <f t="shared" si="5"/>
        <v>28</v>
      </c>
      <c r="B19" s="19"/>
      <c r="C19" s="33">
        <v>0.16396041852429599</v>
      </c>
      <c r="D19" s="13"/>
      <c r="E19" s="29">
        <f t="shared" si="15"/>
        <v>1</v>
      </c>
      <c r="F19" s="28">
        <f t="shared" si="0"/>
        <v>0.02</v>
      </c>
      <c r="G19" s="1">
        <v>14</v>
      </c>
      <c r="H19" s="21">
        <v>46419</v>
      </c>
      <c r="I19" s="16">
        <v>109.578571428571</v>
      </c>
      <c r="J19" s="25">
        <f t="shared" si="14"/>
        <v>75.276842775988555</v>
      </c>
      <c r="K19" s="25">
        <f t="shared" si="7"/>
        <v>84.224465345528273</v>
      </c>
      <c r="L19" s="25">
        <f t="shared" si="8"/>
        <v>144.44736978797215</v>
      </c>
      <c r="M19" s="25">
        <f t="shared" si="9"/>
        <v>161.61680062969404</v>
      </c>
      <c r="N19" s="25">
        <f t="shared" si="10"/>
        <v>52.038229201123045</v>
      </c>
      <c r="O19" s="25">
        <f t="shared" si="11"/>
        <v>-34.30172865258244</v>
      </c>
      <c r="P19" s="25">
        <f t="shared" si="12"/>
        <v>360187.80723849329</v>
      </c>
      <c r="Q19" s="25">
        <f t="shared" si="13"/>
        <v>-237422.84504171464</v>
      </c>
      <c r="R19" s="25">
        <f t="shared" si="1"/>
        <v>34.868798359401154</v>
      </c>
      <c r="S19" s="25">
        <f t="shared" si="2"/>
        <v>-25.354106083042723</v>
      </c>
      <c r="T19" s="16">
        <v>6921.6</v>
      </c>
      <c r="U19" s="26">
        <f t="shared" si="3"/>
        <v>241347.87472443105</v>
      </c>
      <c r="V19" s="26">
        <f t="shared" si="4"/>
        <v>-175490.98066438851</v>
      </c>
      <c r="W19" s="17"/>
      <c r="X19" s="18"/>
    </row>
    <row r="20" spans="1:24" x14ac:dyDescent="0.15">
      <c r="A20">
        <f t="shared" si="5"/>
        <v>31</v>
      </c>
      <c r="B20" s="19"/>
      <c r="C20" s="33">
        <v>0.14345329118790001</v>
      </c>
      <c r="D20" s="13"/>
      <c r="E20" s="29">
        <f t="shared" si="15"/>
        <v>1</v>
      </c>
      <c r="F20" s="28">
        <f t="shared" si="0"/>
        <v>0.02</v>
      </c>
      <c r="G20" s="1">
        <v>15</v>
      </c>
      <c r="H20" s="21">
        <v>46447</v>
      </c>
      <c r="I20" s="16">
        <v>65.309523809523796</v>
      </c>
      <c r="J20" s="25">
        <f t="shared" si="14"/>
        <v>47.209836948834337</v>
      </c>
      <c r="K20" s="25">
        <f t="shared" si="7"/>
        <v>52.084520082552359</v>
      </c>
      <c r="L20" s="25">
        <f t="shared" si="8"/>
        <v>83.498537211817236</v>
      </c>
      <c r="M20" s="25">
        <f t="shared" si="9"/>
        <v>92.120234242410817</v>
      </c>
      <c r="N20" s="25">
        <f t="shared" si="10"/>
        <v>26.810710432887021</v>
      </c>
      <c r="O20" s="25">
        <f t="shared" si="11"/>
        <v>-18.099686860689459</v>
      </c>
      <c r="P20" s="25">
        <f t="shared" si="12"/>
        <v>225403.00475136779</v>
      </c>
      <c r="Q20" s="25">
        <f t="shared" si="13"/>
        <v>-152167.68737518843</v>
      </c>
      <c r="R20" s="25">
        <f t="shared" si="1"/>
        <v>18.18901340229344</v>
      </c>
      <c r="S20" s="25">
        <f t="shared" si="2"/>
        <v>-13.225003726971437</v>
      </c>
      <c r="T20" s="16">
        <v>8407.2000000000007</v>
      </c>
      <c r="U20" s="26">
        <f t="shared" si="3"/>
        <v>152918.67347576143</v>
      </c>
      <c r="V20" s="26">
        <f t="shared" si="4"/>
        <v>-111185.25133339428</v>
      </c>
      <c r="W20" s="17"/>
      <c r="X20" s="18"/>
    </row>
    <row r="21" spans="1:24" x14ac:dyDescent="0.15">
      <c r="A21">
        <f t="shared" si="5"/>
        <v>30</v>
      </c>
      <c r="B21" s="19"/>
      <c r="C21" s="33">
        <v>0.134468741976598</v>
      </c>
      <c r="D21" s="13"/>
      <c r="E21" s="29">
        <f t="shared" si="15"/>
        <v>1</v>
      </c>
      <c r="F21" s="28">
        <f t="shared" si="0"/>
        <v>0.02</v>
      </c>
      <c r="G21" s="1">
        <v>16</v>
      </c>
      <c r="H21" s="21">
        <v>46478</v>
      </c>
      <c r="I21" s="16">
        <v>46.904761904761898</v>
      </c>
      <c r="J21" s="25">
        <f t="shared" si="14"/>
        <v>34.666233436072631</v>
      </c>
      <c r="K21" s="25">
        <f t="shared" si="7"/>
        <v>38.011061201241247</v>
      </c>
      <c r="L21" s="25">
        <f t="shared" si="8"/>
        <v>59.16199519714138</v>
      </c>
      <c r="M21" s="25">
        <f t="shared" si="9"/>
        <v>64.870336270396137</v>
      </c>
      <c r="N21" s="25">
        <f t="shared" si="10"/>
        <v>17.965574365634239</v>
      </c>
      <c r="O21" s="25">
        <f t="shared" si="11"/>
        <v>-12.238528468689267</v>
      </c>
      <c r="P21" s="25">
        <f t="shared" si="12"/>
        <v>157809.60522773117</v>
      </c>
      <c r="Q21" s="25">
        <f t="shared" si="13"/>
        <v>-107503.23406896653</v>
      </c>
      <c r="R21" s="25">
        <f t="shared" si="1"/>
        <v>12.257233292379482</v>
      </c>
      <c r="S21" s="25">
        <f t="shared" si="2"/>
        <v>-8.8937007035206506</v>
      </c>
      <c r="T21" s="16">
        <v>8784</v>
      </c>
      <c r="U21" s="26">
        <f t="shared" si="3"/>
        <v>107667.53724026137</v>
      </c>
      <c r="V21" s="26">
        <f t="shared" si="4"/>
        <v>-78122.266979725391</v>
      </c>
      <c r="W21" s="17"/>
      <c r="X21" s="18"/>
    </row>
    <row r="22" spans="1:24" x14ac:dyDescent="0.15">
      <c r="A22">
        <f t="shared" si="5"/>
        <v>31</v>
      </c>
      <c r="B22" s="19"/>
      <c r="C22" s="33">
        <v>0.14955284024587701</v>
      </c>
      <c r="D22" s="13"/>
      <c r="E22" s="29">
        <f t="shared" si="15"/>
        <v>1</v>
      </c>
      <c r="F22" s="28">
        <f t="shared" si="0"/>
        <v>0.02</v>
      </c>
      <c r="G22" s="1">
        <v>17</v>
      </c>
      <c r="H22" s="21">
        <v>46508</v>
      </c>
      <c r="I22" s="16">
        <v>43.142857142857103</v>
      </c>
      <c r="J22" s="25">
        <f t="shared" si="14"/>
        <v>30.718827017729314</v>
      </c>
      <c r="K22" s="25">
        <f t="shared" si="7"/>
        <v>34.032618082694974</v>
      </c>
      <c r="L22" s="25">
        <f t="shared" si="8"/>
        <v>55.664815266571495</v>
      </c>
      <c r="M22" s="25">
        <f t="shared" si="9"/>
        <v>61.669652865248906</v>
      </c>
      <c r="N22" s="25">
        <f t="shared" si="10"/>
        <v>18.526795722391803</v>
      </c>
      <c r="O22" s="25">
        <f t="shared" si="11"/>
        <v>-12.424030125127789</v>
      </c>
      <c r="P22" s="25">
        <f t="shared" si="12"/>
        <v>157136.87059903832</v>
      </c>
      <c r="Q22" s="25">
        <f t="shared" si="13"/>
        <v>-105375.65390928386</v>
      </c>
      <c r="R22" s="25">
        <f t="shared" si="1"/>
        <v>12.521958123714391</v>
      </c>
      <c r="S22" s="25">
        <f t="shared" si="2"/>
        <v>-9.1102390601621295</v>
      </c>
      <c r="T22" s="16">
        <v>8481.6</v>
      </c>
      <c r="U22" s="26">
        <f t="shared" si="3"/>
        <v>106206.24002209598</v>
      </c>
      <c r="V22" s="26">
        <f t="shared" si="4"/>
        <v>-77269.403612671114</v>
      </c>
      <c r="W22" s="17"/>
      <c r="X22" s="18"/>
    </row>
    <row r="23" spans="1:24" x14ac:dyDescent="0.15">
      <c r="A23">
        <f t="shared" si="5"/>
        <v>30</v>
      </c>
      <c r="B23" s="19"/>
      <c r="C23" s="33">
        <v>0.14300803476276</v>
      </c>
      <c r="D23" s="13"/>
      <c r="E23" s="29">
        <f t="shared" si="15"/>
        <v>1</v>
      </c>
      <c r="F23" s="28">
        <f t="shared" si="0"/>
        <v>0.02</v>
      </c>
      <c r="G23" s="1">
        <v>18</v>
      </c>
      <c r="H23" s="21">
        <v>46539</v>
      </c>
      <c r="I23" s="16">
        <v>47.107142857142797</v>
      </c>
      <c r="J23" s="25">
        <f t="shared" si="14"/>
        <v>34.089529097345952</v>
      </c>
      <c r="K23" s="25">
        <f t="shared" si="7"/>
        <v>37.597996949382853</v>
      </c>
      <c r="L23" s="25">
        <f t="shared" si="8"/>
        <v>60.186448001821461</v>
      </c>
      <c r="M23" s="25">
        <f t="shared" si="9"/>
        <v>66.380790473953795</v>
      </c>
      <c r="N23" s="25">
        <f t="shared" si="10"/>
        <v>19.273647616810997</v>
      </c>
      <c r="O23" s="25">
        <f t="shared" si="11"/>
        <v>-13.017613759796845</v>
      </c>
      <c r="P23" s="25">
        <f t="shared" si="12"/>
        <v>113791.61552965194</v>
      </c>
      <c r="Q23" s="25">
        <f t="shared" si="13"/>
        <v>-76855.991637840445</v>
      </c>
      <c r="R23" s="25">
        <f t="shared" si="1"/>
        <v>13.079305144678663</v>
      </c>
      <c r="S23" s="25">
        <f t="shared" si="2"/>
        <v>-9.5091459077599438</v>
      </c>
      <c r="T23" s="16">
        <v>5903.99999999999</v>
      </c>
      <c r="U23" s="26">
        <f t="shared" si="3"/>
        <v>77220.217574182694</v>
      </c>
      <c r="V23" s="26">
        <f t="shared" si="4"/>
        <v>-56141.997439414612</v>
      </c>
      <c r="W23" s="17"/>
      <c r="X23" s="18"/>
    </row>
    <row r="24" spans="1:24" x14ac:dyDescent="0.15">
      <c r="A24">
        <f t="shared" si="5"/>
        <v>31</v>
      </c>
      <c r="B24" s="19"/>
      <c r="C24" s="33">
        <v>9.9105650914121199E-2</v>
      </c>
      <c r="D24" s="13"/>
      <c r="E24" s="29">
        <f t="shared" si="15"/>
        <v>1</v>
      </c>
      <c r="F24" s="28">
        <f t="shared" si="0"/>
        <v>0.02</v>
      </c>
      <c r="G24" s="1">
        <v>19</v>
      </c>
      <c r="H24" s="21">
        <v>46569</v>
      </c>
      <c r="I24" s="16">
        <v>68.452380952380906</v>
      </c>
      <c r="J24" s="25">
        <f t="shared" si="14"/>
        <v>55.164035122076726</v>
      </c>
      <c r="K24" s="25">
        <f t="shared" si="7"/>
        <v>59.039019582849903</v>
      </c>
      <c r="L24" s="25">
        <f t="shared" si="8"/>
        <v>81.798275843623998</v>
      </c>
      <c r="M24" s="25">
        <f t="shared" si="9"/>
        <v>87.54417617724971</v>
      </c>
      <c r="N24" s="25">
        <f t="shared" si="10"/>
        <v>19.091795224868804</v>
      </c>
      <c r="O24" s="25">
        <f t="shared" si="11"/>
        <v>-13.288345830304181</v>
      </c>
      <c r="P24" s="25">
        <f t="shared" si="12"/>
        <v>72441.907801242007</v>
      </c>
      <c r="Q24" s="25">
        <f t="shared" si="13"/>
        <v>-50421.299418506052</v>
      </c>
      <c r="R24" s="25">
        <f t="shared" si="1"/>
        <v>13.345894891243091</v>
      </c>
      <c r="S24" s="25">
        <f t="shared" si="2"/>
        <v>-9.4133613695310032</v>
      </c>
      <c r="T24" s="16">
        <v>3794.3999999999901</v>
      </c>
      <c r="U24" s="26">
        <f t="shared" si="3"/>
        <v>50639.663575332655</v>
      </c>
      <c r="V24" s="26">
        <f t="shared" si="4"/>
        <v>-35718.058380548347</v>
      </c>
      <c r="W24" s="17"/>
      <c r="X24" s="18"/>
    </row>
    <row r="25" spans="1:24" x14ac:dyDescent="0.15">
      <c r="A25">
        <f t="shared" si="5"/>
        <v>31</v>
      </c>
      <c r="B25" s="19"/>
      <c r="C25" s="33">
        <v>0.11899563962656701</v>
      </c>
      <c r="D25" s="13"/>
      <c r="E25" s="29">
        <f t="shared" si="15"/>
        <v>1</v>
      </c>
      <c r="F25" s="28">
        <f t="shared" si="0"/>
        <v>0.02</v>
      </c>
      <c r="G25" s="1">
        <v>20</v>
      </c>
      <c r="H25" s="21">
        <v>46600</v>
      </c>
      <c r="I25" s="16">
        <v>60.011904761904702</v>
      </c>
      <c r="J25" s="25">
        <f t="shared" si="14"/>
        <v>46.07189604233394</v>
      </c>
      <c r="K25" s="25">
        <f t="shared" si="7"/>
        <v>49.984609444198242</v>
      </c>
      <c r="L25" s="25">
        <f t="shared" si="8"/>
        <v>73.936809394542266</v>
      </c>
      <c r="M25" s="25">
        <f t="shared" si="9"/>
        <v>80.215985418539418</v>
      </c>
      <c r="N25" s="25">
        <f t="shared" si="10"/>
        <v>20.204080656634716</v>
      </c>
      <c r="O25" s="25">
        <f t="shared" si="11"/>
        <v>-13.940008719570763</v>
      </c>
      <c r="P25" s="25">
        <f t="shared" si="12"/>
        <v>40585.957223047815</v>
      </c>
      <c r="Q25" s="25">
        <f t="shared" si="13"/>
        <v>-28002.689515873746</v>
      </c>
      <c r="R25" s="25">
        <f t="shared" si="1"/>
        <v>13.924904632637563</v>
      </c>
      <c r="S25" s="25">
        <f t="shared" si="2"/>
        <v>-10.027295317706461</v>
      </c>
      <c r="T25" s="16">
        <v>2008.8</v>
      </c>
      <c r="U25" s="26">
        <f t="shared" si="3"/>
        <v>27972.348426042336</v>
      </c>
      <c r="V25" s="26">
        <f t="shared" si="4"/>
        <v>-20142.830834208737</v>
      </c>
      <c r="W25" s="17"/>
      <c r="X25" s="18"/>
    </row>
    <row r="26" spans="1:24" x14ac:dyDescent="0.15">
      <c r="A26">
        <f t="shared" si="5"/>
        <v>30</v>
      </c>
      <c r="B26" s="19"/>
      <c r="C26" s="33">
        <v>0.122454631758767</v>
      </c>
      <c r="D26" s="13"/>
      <c r="E26" s="29">
        <f t="shared" si="15"/>
        <v>1</v>
      </c>
      <c r="F26" s="28">
        <f t="shared" si="0"/>
        <v>0.02</v>
      </c>
      <c r="G26" s="1">
        <v>21</v>
      </c>
      <c r="H26" s="21">
        <v>46631</v>
      </c>
      <c r="I26" s="16">
        <v>45.1666666666666</v>
      </c>
      <c r="J26" s="25">
        <f t="shared" si="14"/>
        <v>34.382320428490146</v>
      </c>
      <c r="K26" s="25">
        <f t="shared" si="7"/>
        <v>37.390771176697598</v>
      </c>
      <c r="L26" s="25">
        <f t="shared" si="8"/>
        <v>55.94111683654576</v>
      </c>
      <c r="M26" s="25">
        <f t="shared" si="9"/>
        <v>60.835960835004109</v>
      </c>
      <c r="N26" s="25">
        <f t="shared" si="10"/>
        <v>15.669294168337508</v>
      </c>
      <c r="O26" s="25">
        <f t="shared" si="11"/>
        <v>-10.784346238176454</v>
      </c>
      <c r="P26" s="25">
        <f t="shared" si="12"/>
        <v>50768.513105413527</v>
      </c>
      <c r="Q26" s="25">
        <f t="shared" si="13"/>
        <v>-34941.281811691711</v>
      </c>
      <c r="R26" s="25">
        <f t="shared" si="1"/>
        <v>10.774450169879159</v>
      </c>
      <c r="S26" s="25">
        <f t="shared" si="2"/>
        <v>-7.7758954899690025</v>
      </c>
      <c r="T26" s="16">
        <v>3240</v>
      </c>
      <c r="U26" s="26">
        <f t="shared" si="3"/>
        <v>34909.218550408477</v>
      </c>
      <c r="V26" s="26">
        <f t="shared" si="4"/>
        <v>-25193.901387499569</v>
      </c>
      <c r="W26" s="17"/>
      <c r="X26" s="18"/>
    </row>
    <row r="27" spans="1:24" x14ac:dyDescent="0.15">
      <c r="A27">
        <f t="shared" si="5"/>
        <v>31</v>
      </c>
      <c r="B27" s="19"/>
      <c r="C27" s="33">
        <v>0.13678220356377899</v>
      </c>
      <c r="D27" s="13"/>
      <c r="E27" s="29">
        <f t="shared" si="15"/>
        <v>1</v>
      </c>
      <c r="F27" s="28">
        <f t="shared" si="0"/>
        <v>0.02</v>
      </c>
      <c r="G27" s="1">
        <v>22</v>
      </c>
      <c r="H27" s="21">
        <v>46661</v>
      </c>
      <c r="I27" s="16">
        <v>43.940476190476097</v>
      </c>
      <c r="J27" s="25">
        <f t="shared" si="14"/>
        <v>32.290681310269058</v>
      </c>
      <c r="K27" s="25">
        <f t="shared" si="7"/>
        <v>35.462453671232119</v>
      </c>
      <c r="L27" s="25">
        <f t="shared" si="8"/>
        <v>55.616946247566595</v>
      </c>
      <c r="M27" s="25">
        <f t="shared" si="9"/>
        <v>61.079955566391334</v>
      </c>
      <c r="N27" s="25">
        <f t="shared" si="10"/>
        <v>17.139479375915236</v>
      </c>
      <c r="O27" s="25">
        <f t="shared" si="11"/>
        <v>-11.64979488020704</v>
      </c>
      <c r="P27" s="25">
        <f t="shared" si="12"/>
        <v>63758.863278404679</v>
      </c>
      <c r="Q27" s="25">
        <f t="shared" si="13"/>
        <v>-43337.236954370186</v>
      </c>
      <c r="R27" s="25">
        <f t="shared" si="1"/>
        <v>11.676470057090498</v>
      </c>
      <c r="S27" s="25">
        <f t="shared" si="2"/>
        <v>-8.4780225192439786</v>
      </c>
      <c r="T27" s="16">
        <v>3720</v>
      </c>
      <c r="U27" s="26">
        <f t="shared" si="3"/>
        <v>43436.468612376651</v>
      </c>
      <c r="V27" s="26">
        <f t="shared" si="4"/>
        <v>-31538.2437715876</v>
      </c>
      <c r="W27" s="17"/>
      <c r="X27" s="18"/>
    </row>
    <row r="28" spans="1:24" x14ac:dyDescent="0.15">
      <c r="A28">
        <f t="shared" si="5"/>
        <v>30</v>
      </c>
      <c r="B28" s="19"/>
      <c r="C28" s="33">
        <v>0.12781475040863699</v>
      </c>
      <c r="D28" s="13"/>
      <c r="E28" s="29">
        <f t="shared" si="15"/>
        <v>1</v>
      </c>
      <c r="F28" s="28">
        <f t="shared" si="0"/>
        <v>0.02</v>
      </c>
      <c r="G28" s="1">
        <v>23</v>
      </c>
      <c r="H28" s="21">
        <v>46692</v>
      </c>
      <c r="I28" s="16">
        <v>59.126190476190402</v>
      </c>
      <c r="J28" s="25">
        <f t="shared" si="14"/>
        <v>44.420332679675532</v>
      </c>
      <c r="K28" s="25">
        <f t="shared" si="7"/>
        <v>48.484803157288376</v>
      </c>
      <c r="L28" s="25">
        <f t="shared" si="8"/>
        <v>73.829689003103297</v>
      </c>
      <c r="M28" s="25">
        <f t="shared" si="9"/>
        <v>80.585122229783124</v>
      </c>
      <c r="N28" s="25">
        <f t="shared" si="10"/>
        <v>21.458931753592722</v>
      </c>
      <c r="O28" s="25">
        <f t="shared" si="11"/>
        <v>-14.70585779651487</v>
      </c>
      <c r="P28" s="25">
        <f t="shared" si="12"/>
        <v>98882.757520555257</v>
      </c>
      <c r="Q28" s="25">
        <f t="shared" si="13"/>
        <v>-67764.592726340517</v>
      </c>
      <c r="R28" s="25">
        <f t="shared" si="1"/>
        <v>14.703498526912895</v>
      </c>
      <c r="S28" s="25">
        <f t="shared" si="2"/>
        <v>-10.641387318902026</v>
      </c>
      <c r="T28" s="16">
        <v>4608</v>
      </c>
      <c r="U28" s="26">
        <f t="shared" si="3"/>
        <v>67753.721212014614</v>
      </c>
      <c r="V28" s="26">
        <f t="shared" si="4"/>
        <v>-49035.512765500534</v>
      </c>
      <c r="W28" s="17"/>
      <c r="X28" s="18"/>
    </row>
    <row r="29" spans="1:24" x14ac:dyDescent="0.15">
      <c r="A29">
        <f t="shared" si="5"/>
        <v>31</v>
      </c>
      <c r="B29" s="19"/>
      <c r="C29" s="33">
        <v>0.136294315191095</v>
      </c>
      <c r="D29" s="13"/>
      <c r="E29" s="29">
        <f t="shared" si="15"/>
        <v>1</v>
      </c>
      <c r="F29" s="28">
        <f t="shared" si="0"/>
        <v>0.02</v>
      </c>
      <c r="G29" s="1">
        <v>24</v>
      </c>
      <c r="H29" s="21">
        <v>46722</v>
      </c>
      <c r="I29" s="16">
        <v>89.130952380952294</v>
      </c>
      <c r="J29" s="25">
        <f t="shared" si="14"/>
        <v>65.578823990565155</v>
      </c>
      <c r="K29" s="25">
        <f t="shared" si="7"/>
        <v>71.996279546905384</v>
      </c>
      <c r="L29" s="25">
        <f t="shared" si="8"/>
        <v>112.73306208639745</v>
      </c>
      <c r="M29" s="25">
        <f t="shared" si="9"/>
        <v>123.7649679920856</v>
      </c>
      <c r="N29" s="25">
        <f t="shared" si="10"/>
        <v>34.634015611133307</v>
      </c>
      <c r="O29" s="25">
        <f t="shared" si="11"/>
        <v>-23.552128390387139</v>
      </c>
      <c r="P29" s="25">
        <f t="shared" si="12"/>
        <v>252523.53462389516</v>
      </c>
      <c r="Q29" s="25">
        <f t="shared" si="13"/>
        <v>-171723.27851999071</v>
      </c>
      <c r="R29" s="25">
        <f t="shared" si="1"/>
        <v>23.602109705445159</v>
      </c>
      <c r="S29" s="25">
        <f t="shared" si="2"/>
        <v>-17.13467283404691</v>
      </c>
      <c r="T29" s="16">
        <v>7291.2</v>
      </c>
      <c r="U29" s="26">
        <f t="shared" si="3"/>
        <v>172087.70228434174</v>
      </c>
      <c r="V29" s="26">
        <f t="shared" si="4"/>
        <v>-124932.32656760282</v>
      </c>
      <c r="W29" s="17"/>
      <c r="X29" s="18"/>
    </row>
    <row r="30" spans="1:24" x14ac:dyDescent="0.15">
      <c r="A30">
        <f t="shared" si="5"/>
        <v>31</v>
      </c>
      <c r="B30" s="19"/>
      <c r="C30" s="34">
        <v>0.16195236662578899</v>
      </c>
      <c r="D30" s="13"/>
      <c r="E30" s="29">
        <f t="shared" si="15"/>
        <v>1</v>
      </c>
      <c r="F30" s="28">
        <f t="shared" si="0"/>
        <v>0.02</v>
      </c>
      <c r="G30" s="1">
        <v>25</v>
      </c>
      <c r="H30" s="21">
        <v>46753</v>
      </c>
      <c r="I30" s="16">
        <v>131.67380952380901</v>
      </c>
      <c r="J30" s="25">
        <f t="shared" si="14"/>
        <v>90.90949266995807</v>
      </c>
      <c r="K30" s="25">
        <f t="shared" si="7"/>
        <v>101.5754423406279</v>
      </c>
      <c r="L30" s="25">
        <f t="shared" si="8"/>
        <v>173.05770311142996</v>
      </c>
      <c r="M30" s="25">
        <f t="shared" si="9"/>
        <v>193.36168564721859</v>
      </c>
      <c r="N30" s="25">
        <f t="shared" si="10"/>
        <v>61.68787612340958</v>
      </c>
      <c r="O30" s="25">
        <f t="shared" si="11"/>
        <v>-40.764316853850943</v>
      </c>
      <c r="P30" s="25">
        <f t="shared" si="12"/>
        <v>468136.95432533004</v>
      </c>
      <c r="Q30" s="25">
        <f t="shared" si="13"/>
        <v>-309352.24774050363</v>
      </c>
      <c r="R30" s="25">
        <f t="shared" si="1"/>
        <v>41.383893587620946</v>
      </c>
      <c r="S30" s="25">
        <f t="shared" si="2"/>
        <v>-30.098367183181111</v>
      </c>
      <c r="T30" s="16">
        <v>7588.7999999999902</v>
      </c>
      <c r="U30" s="26">
        <f t="shared" si="3"/>
        <v>314054.09165773744</v>
      </c>
      <c r="V30" s="26">
        <f t="shared" si="4"/>
        <v>-228410.48887972452</v>
      </c>
      <c r="W30" s="17"/>
      <c r="X30" s="18"/>
    </row>
    <row r="31" spans="1:24" x14ac:dyDescent="0.15">
      <c r="A31">
        <f t="shared" si="5"/>
        <v>29</v>
      </c>
      <c r="B31" s="19"/>
      <c r="C31" s="34">
        <v>0.16396041852429599</v>
      </c>
      <c r="D31" s="13"/>
      <c r="E31" s="29">
        <f t="shared" si="15"/>
        <v>1</v>
      </c>
      <c r="F31" s="28">
        <f t="shared" si="0"/>
        <v>0.02</v>
      </c>
      <c r="G31" s="1">
        <v>26</v>
      </c>
      <c r="H31" s="21">
        <v>46784</v>
      </c>
      <c r="I31" s="16">
        <v>105.911904761904</v>
      </c>
      <c r="J31" s="25">
        <f t="shared" si="14"/>
        <v>72.757964435266885</v>
      </c>
      <c r="K31" s="25">
        <f t="shared" si="7"/>
        <v>81.406185862832103</v>
      </c>
      <c r="L31" s="25">
        <f t="shared" si="8"/>
        <v>139.61393977529374</v>
      </c>
      <c r="M31" s="25">
        <f t="shared" si="9"/>
        <v>156.20885519002798</v>
      </c>
      <c r="N31" s="25">
        <f t="shared" si="10"/>
        <v>50.296950428123978</v>
      </c>
      <c r="O31" s="25">
        <f t="shared" si="11"/>
        <v>-33.153940326637112</v>
      </c>
      <c r="P31" s="25">
        <f t="shared" si="12"/>
        <v>360568.77822913521</v>
      </c>
      <c r="Q31" s="25">
        <f t="shared" si="13"/>
        <v>-237673.96741359614</v>
      </c>
      <c r="R31" s="25">
        <f t="shared" si="1"/>
        <v>33.702035013389747</v>
      </c>
      <c r="S31" s="25">
        <f t="shared" si="2"/>
        <v>-24.505718899071894</v>
      </c>
      <c r="T31" s="16">
        <v>7168.8</v>
      </c>
      <c r="U31" s="26">
        <f t="shared" si="3"/>
        <v>241603.14860398843</v>
      </c>
      <c r="V31" s="26">
        <f t="shared" si="4"/>
        <v>-175676.59764366661</v>
      </c>
      <c r="W31" s="17"/>
      <c r="X31" s="18"/>
    </row>
    <row r="32" spans="1:24" x14ac:dyDescent="0.15">
      <c r="A32">
        <f t="shared" si="5"/>
        <v>31</v>
      </c>
      <c r="B32" s="19"/>
      <c r="C32" s="34">
        <v>0.14345329118790001</v>
      </c>
      <c r="D32" s="13"/>
      <c r="E32" s="29">
        <f t="shared" si="15"/>
        <v>1</v>
      </c>
      <c r="F32" s="28">
        <f t="shared" si="0"/>
        <v>0.02</v>
      </c>
      <c r="G32" s="1">
        <v>27</v>
      </c>
      <c r="H32" s="21">
        <v>46813</v>
      </c>
      <c r="I32" s="16">
        <v>61.642857142857103</v>
      </c>
      <c r="J32" s="25">
        <f t="shared" si="14"/>
        <v>44.55933935856072</v>
      </c>
      <c r="K32" s="25">
        <f t="shared" si="7"/>
        <v>49.160343599609185</v>
      </c>
      <c r="L32" s="25">
        <f t="shared" si="8"/>
        <v>78.810686416840952</v>
      </c>
      <c r="M32" s="25">
        <f t="shared" si="9"/>
        <v>86.948336293693586</v>
      </c>
      <c r="N32" s="25">
        <f t="shared" si="10"/>
        <v>25.305479150836483</v>
      </c>
      <c r="O32" s="25">
        <f t="shared" si="11"/>
        <v>-17.083517784296383</v>
      </c>
      <c r="P32" s="25">
        <f t="shared" si="12"/>
        <v>212748.2243169125</v>
      </c>
      <c r="Q32" s="25">
        <f t="shared" si="13"/>
        <v>-143624.55071613655</v>
      </c>
      <c r="R32" s="25">
        <f t="shared" si="1"/>
        <v>17.167829273983848</v>
      </c>
      <c r="S32" s="25">
        <f t="shared" si="2"/>
        <v>-12.482513543247919</v>
      </c>
      <c r="T32" s="16">
        <v>8407.2000000000007</v>
      </c>
      <c r="U32" s="26">
        <f t="shared" si="3"/>
        <v>144333.37427223701</v>
      </c>
      <c r="V32" s="26">
        <f t="shared" si="4"/>
        <v>-104942.98786079392</v>
      </c>
      <c r="W32" s="17"/>
      <c r="X32" s="18"/>
    </row>
    <row r="33" spans="1:24" x14ac:dyDescent="0.15">
      <c r="A33">
        <f t="shared" si="5"/>
        <v>30</v>
      </c>
      <c r="B33" s="19"/>
      <c r="C33" s="34">
        <v>0.134468741976598</v>
      </c>
      <c r="D33" s="13"/>
      <c r="E33" s="29">
        <f t="shared" si="15"/>
        <v>1</v>
      </c>
      <c r="F33" s="28">
        <f t="shared" si="0"/>
        <v>0.02</v>
      </c>
      <c r="G33" s="1">
        <v>28</v>
      </c>
      <c r="H33" s="21">
        <v>46844</v>
      </c>
      <c r="I33" s="16">
        <v>43.238095238095198</v>
      </c>
      <c r="J33" s="25">
        <f t="shared" si="14"/>
        <v>31.956284223303477</v>
      </c>
      <c r="K33" s="25">
        <f t="shared" si="7"/>
        <v>35.039638142870075</v>
      </c>
      <c r="L33" s="25">
        <f t="shared" si="8"/>
        <v>54.537148872085616</v>
      </c>
      <c r="M33" s="25">
        <f t="shared" si="9"/>
        <v>59.799254145705227</v>
      </c>
      <c r="N33" s="25">
        <f t="shared" si="10"/>
        <v>16.561158907610029</v>
      </c>
      <c r="O33" s="25">
        <f t="shared" si="11"/>
        <v>-11.281811014791721</v>
      </c>
      <c r="P33" s="25">
        <f t="shared" si="12"/>
        <v>145473.21984444649</v>
      </c>
      <c r="Q33" s="25">
        <f t="shared" si="13"/>
        <v>-99099.427953930484</v>
      </c>
      <c r="R33" s="25">
        <f t="shared" si="1"/>
        <v>11.299053633990418</v>
      </c>
      <c r="S33" s="25">
        <f t="shared" si="2"/>
        <v>-8.1984570952251232</v>
      </c>
      <c r="T33" s="16">
        <v>8784</v>
      </c>
      <c r="U33" s="26">
        <f t="shared" si="3"/>
        <v>99250.887120971835</v>
      </c>
      <c r="V33" s="26">
        <f t="shared" si="4"/>
        <v>-72015.247124457484</v>
      </c>
      <c r="W33" s="17"/>
      <c r="X33" s="18"/>
    </row>
    <row r="34" spans="1:24" x14ac:dyDescent="0.15">
      <c r="A34">
        <f t="shared" si="5"/>
        <v>31</v>
      </c>
      <c r="B34" s="19"/>
      <c r="C34" s="34">
        <v>0.14955284024587701</v>
      </c>
      <c r="D34" s="13"/>
      <c r="E34" s="29">
        <f t="shared" si="15"/>
        <v>1</v>
      </c>
      <c r="F34" s="28">
        <f t="shared" si="0"/>
        <v>0.02</v>
      </c>
      <c r="G34" s="1">
        <v>29</v>
      </c>
      <c r="H34" s="21">
        <v>46874</v>
      </c>
      <c r="I34" s="16">
        <v>39.476190476190403</v>
      </c>
      <c r="J34" s="25">
        <f t="shared" si="14"/>
        <v>28.108065781123152</v>
      </c>
      <c r="K34" s="25">
        <f t="shared" si="7"/>
        <v>31.140221181627048</v>
      </c>
      <c r="L34" s="25">
        <f t="shared" si="8"/>
        <v>50.933920370847382</v>
      </c>
      <c r="M34" s="25">
        <f t="shared" si="9"/>
        <v>56.428413052197897</v>
      </c>
      <c r="N34" s="25">
        <f t="shared" si="10"/>
        <v>16.952222576007493</v>
      </c>
      <c r="O34" s="25">
        <f t="shared" si="11"/>
        <v>-11.368124695067252</v>
      </c>
      <c r="P34" s="25">
        <f t="shared" si="12"/>
        <v>143781.97100066516</v>
      </c>
      <c r="Q34" s="25">
        <f t="shared" si="13"/>
        <v>-96419.886413682412</v>
      </c>
      <c r="R34" s="25">
        <f t="shared" si="1"/>
        <v>11.457729894656978</v>
      </c>
      <c r="S34" s="25">
        <f t="shared" si="2"/>
        <v>-8.3359692945633554</v>
      </c>
      <c r="T34" s="16">
        <v>8481.6</v>
      </c>
      <c r="U34" s="26">
        <f t="shared" si="3"/>
        <v>97179.881874522631</v>
      </c>
      <c r="V34" s="26">
        <f t="shared" si="4"/>
        <v>-70702.357168768562</v>
      </c>
      <c r="W34" s="17"/>
      <c r="X34" s="18"/>
    </row>
    <row r="35" spans="1:24" x14ac:dyDescent="0.15">
      <c r="A35">
        <f t="shared" si="5"/>
        <v>30</v>
      </c>
      <c r="B35" s="19"/>
      <c r="C35" s="34">
        <v>0.14300803476276</v>
      </c>
      <c r="D35" s="13"/>
      <c r="E35" s="29">
        <f t="shared" si="15"/>
        <v>1</v>
      </c>
      <c r="F35" s="28">
        <f t="shared" si="0"/>
        <v>0.02</v>
      </c>
      <c r="G35" s="1">
        <v>30</v>
      </c>
      <c r="H35" s="21">
        <v>46905</v>
      </c>
      <c r="I35" s="16">
        <v>43.440476190476097</v>
      </c>
      <c r="J35" s="25">
        <f t="shared" si="14"/>
        <v>31.436111113524202</v>
      </c>
      <c r="K35" s="25">
        <f t="shared" si="7"/>
        <v>34.671491247990375</v>
      </c>
      <c r="L35" s="25">
        <f t="shared" si="8"/>
        <v>55.501730795715524</v>
      </c>
      <c r="M35" s="25">
        <f t="shared" si="9"/>
        <v>61.213925812347028</v>
      </c>
      <c r="N35" s="25">
        <f t="shared" si="10"/>
        <v>17.773449621870931</v>
      </c>
      <c r="O35" s="25">
        <f t="shared" si="11"/>
        <v>-12.004365076951895</v>
      </c>
      <c r="P35" s="25">
        <f t="shared" si="12"/>
        <v>104934.4465675258</v>
      </c>
      <c r="Q35" s="25">
        <f t="shared" si="13"/>
        <v>-70873.77141432387</v>
      </c>
      <c r="R35" s="25">
        <f t="shared" si="1"/>
        <v>12.061254605239426</v>
      </c>
      <c r="S35" s="25">
        <f t="shared" si="2"/>
        <v>-8.7689849424857229</v>
      </c>
      <c r="T35" s="16">
        <v>5903.99999999999</v>
      </c>
      <c r="U35" s="26">
        <f t="shared" si="3"/>
        <v>71209.647189333453</v>
      </c>
      <c r="V35" s="26">
        <f t="shared" si="4"/>
        <v>-51772.087100435623</v>
      </c>
      <c r="W35" s="17"/>
      <c r="X35" s="18"/>
    </row>
    <row r="36" spans="1:24" x14ac:dyDescent="0.15">
      <c r="A36">
        <f t="shared" si="5"/>
        <v>31</v>
      </c>
      <c r="B36" s="19"/>
      <c r="C36" s="34">
        <v>9.9105650914121199E-2</v>
      </c>
      <c r="D36" s="13"/>
      <c r="E36" s="29">
        <f t="shared" si="15"/>
        <v>1</v>
      </c>
      <c r="F36" s="28">
        <f t="shared" si="0"/>
        <v>0.02</v>
      </c>
      <c r="G36" s="1">
        <v>31</v>
      </c>
      <c r="H36" s="21">
        <v>46935</v>
      </c>
      <c r="I36" s="16">
        <v>64.785714285714207</v>
      </c>
      <c r="J36" s="25">
        <f t="shared" si="14"/>
        <v>52.209161588581111</v>
      </c>
      <c r="K36" s="25">
        <f t="shared" si="7"/>
        <v>55.876581664325045</v>
      </c>
      <c r="L36" s="25">
        <f t="shared" si="8"/>
        <v>77.416733415826357</v>
      </c>
      <c r="M36" s="25">
        <f t="shared" si="9"/>
        <v>82.85485334897264</v>
      </c>
      <c r="N36" s="25">
        <f t="shared" si="10"/>
        <v>18.069139063258433</v>
      </c>
      <c r="O36" s="25">
        <f t="shared" si="11"/>
        <v>-12.576552697133096</v>
      </c>
      <c r="P36" s="25">
        <f t="shared" si="12"/>
        <v>68561.541261627615</v>
      </c>
      <c r="Q36" s="25">
        <f t="shared" si="13"/>
        <v>-47720.471554001691</v>
      </c>
      <c r="R36" s="25">
        <f t="shared" si="1"/>
        <v>12.631019130112151</v>
      </c>
      <c r="S36" s="25">
        <f t="shared" si="2"/>
        <v>-8.909132621389162</v>
      </c>
      <c r="T36" s="16">
        <v>3794.3999999999901</v>
      </c>
      <c r="U36" s="26">
        <f t="shared" si="3"/>
        <v>47927.138987297418</v>
      </c>
      <c r="V36" s="26">
        <f t="shared" si="4"/>
        <v>-33804.812818598948</v>
      </c>
      <c r="W36" s="17"/>
      <c r="X36" s="18"/>
    </row>
    <row r="37" spans="1:24" x14ac:dyDescent="0.15">
      <c r="A37">
        <f t="shared" si="5"/>
        <v>31</v>
      </c>
      <c r="B37" s="19"/>
      <c r="C37" s="34">
        <v>0.11899563962656701</v>
      </c>
      <c r="D37" s="13"/>
      <c r="E37" s="29">
        <f t="shared" si="15"/>
        <v>1</v>
      </c>
      <c r="F37" s="28">
        <f t="shared" si="0"/>
        <v>0.02</v>
      </c>
      <c r="G37" s="1">
        <v>32</v>
      </c>
      <c r="H37" s="21">
        <v>46966</v>
      </c>
      <c r="I37" s="16">
        <v>56.345238095238003</v>
      </c>
      <c r="J37" s="25">
        <f t="shared" si="14"/>
        <v>43.256949805270061</v>
      </c>
      <c r="K37" s="25">
        <f t="shared" si="7"/>
        <v>46.930600376788362</v>
      </c>
      <c r="L37" s="25">
        <f t="shared" si="8"/>
        <v>69.419345142703506</v>
      </c>
      <c r="M37" s="25">
        <f t="shared" si="9"/>
        <v>75.314869864302082</v>
      </c>
      <c r="N37" s="25">
        <f t="shared" si="10"/>
        <v>18.96963176906408</v>
      </c>
      <c r="O37" s="25">
        <f t="shared" si="11"/>
        <v>-13.088288289967942</v>
      </c>
      <c r="P37" s="25">
        <f t="shared" si="12"/>
        <v>38106.196297695926</v>
      </c>
      <c r="Q37" s="25">
        <f t="shared" si="13"/>
        <v>-26291.753516887602</v>
      </c>
      <c r="R37" s="25">
        <f t="shared" si="1"/>
        <v>13.074107047465503</v>
      </c>
      <c r="S37" s="25">
        <f t="shared" si="2"/>
        <v>-9.4146377184496401</v>
      </c>
      <c r="T37" s="16">
        <v>2008.8</v>
      </c>
      <c r="U37" s="26">
        <f t="shared" si="3"/>
        <v>26263.266236948701</v>
      </c>
      <c r="V37" s="26">
        <f t="shared" si="4"/>
        <v>-18912.124248821638</v>
      </c>
      <c r="W37" s="17"/>
      <c r="X37" s="18"/>
    </row>
    <row r="38" spans="1:24" x14ac:dyDescent="0.15">
      <c r="A38">
        <f t="shared" si="5"/>
        <v>30</v>
      </c>
      <c r="B38" s="19"/>
      <c r="C38" s="34">
        <v>0.122454631758767</v>
      </c>
      <c r="D38" s="13"/>
      <c r="E38" s="29">
        <f t="shared" si="15"/>
        <v>1</v>
      </c>
      <c r="F38" s="28">
        <f t="shared" si="0"/>
        <v>0.02</v>
      </c>
      <c r="G38" s="1">
        <v>33</v>
      </c>
      <c r="H38" s="21">
        <v>46997</v>
      </c>
      <c r="I38" s="16">
        <v>41.5</v>
      </c>
      <c r="J38" s="25">
        <f t="shared" si="14"/>
        <v>31.591135744258519</v>
      </c>
      <c r="K38" s="25">
        <f t="shared" si="7"/>
        <v>34.355358018441756</v>
      </c>
      <c r="L38" s="25">
        <f t="shared" si="8"/>
        <v>51.39977155830227</v>
      </c>
      <c r="M38" s="25">
        <f t="shared" si="9"/>
        <v>55.897248147291684</v>
      </c>
      <c r="N38" s="25">
        <f t="shared" si="10"/>
        <v>14.397248147291684</v>
      </c>
      <c r="O38" s="25">
        <f t="shared" si="11"/>
        <v>-9.9088642557414808</v>
      </c>
      <c r="P38" s="25">
        <f t="shared" si="12"/>
        <v>46647.083997225054</v>
      </c>
      <c r="Q38" s="25">
        <f t="shared" si="13"/>
        <v>-32104.720188602398</v>
      </c>
      <c r="R38" s="25">
        <f t="shared" si="1"/>
        <v>9.8997715583022696</v>
      </c>
      <c r="S38" s="25">
        <f t="shared" si="2"/>
        <v>-7.1446419815582445</v>
      </c>
      <c r="T38" s="16">
        <v>3240</v>
      </c>
      <c r="U38" s="26">
        <f t="shared" si="3"/>
        <v>32075.259848899354</v>
      </c>
      <c r="V38" s="26">
        <f t="shared" si="4"/>
        <v>-23148.640020248713</v>
      </c>
      <c r="W38" s="17"/>
      <c r="X38" s="18"/>
    </row>
    <row r="39" spans="1:24" x14ac:dyDescent="0.15">
      <c r="A39">
        <f t="shared" si="5"/>
        <v>31</v>
      </c>
      <c r="B39" s="19"/>
      <c r="C39" s="34">
        <v>0.13678220356377899</v>
      </c>
      <c r="D39" s="13"/>
      <c r="E39" s="29">
        <f t="shared" si="15"/>
        <v>1</v>
      </c>
      <c r="F39" s="28">
        <f t="shared" si="0"/>
        <v>0.02</v>
      </c>
      <c r="G39" s="1">
        <v>34</v>
      </c>
      <c r="H39" s="21">
        <v>47027</v>
      </c>
      <c r="I39" s="16">
        <v>40.273809523809497</v>
      </c>
      <c r="J39" s="25">
        <f t="shared" si="14"/>
        <v>29.596145996380489</v>
      </c>
      <c r="K39" s="25">
        <f t="shared" si="7"/>
        <v>32.503245941419245</v>
      </c>
      <c r="L39" s="25">
        <f t="shared" si="8"/>
        <v>50.975922285428901</v>
      </c>
      <c r="M39" s="25">
        <f t="shared" si="9"/>
        <v>55.983064123842368</v>
      </c>
      <c r="N39" s="25">
        <f t="shared" si="10"/>
        <v>15.709254600032871</v>
      </c>
      <c r="O39" s="25">
        <f t="shared" si="11"/>
        <v>-10.677663527429008</v>
      </c>
      <c r="P39" s="25">
        <f t="shared" si="12"/>
        <v>58438.427112122277</v>
      </c>
      <c r="Q39" s="25">
        <f t="shared" si="13"/>
        <v>-39720.90832203591</v>
      </c>
      <c r="R39" s="25">
        <f t="shared" si="1"/>
        <v>10.702112761619404</v>
      </c>
      <c r="S39" s="25">
        <f t="shared" si="2"/>
        <v>-7.7705635823902526</v>
      </c>
      <c r="T39" s="16">
        <v>3720</v>
      </c>
      <c r="U39" s="26">
        <f t="shared" si="3"/>
        <v>39811.859473224184</v>
      </c>
      <c r="V39" s="26">
        <f t="shared" si="4"/>
        <v>-28906.496526491741</v>
      </c>
      <c r="W39" s="17"/>
      <c r="X39" s="18"/>
    </row>
    <row r="40" spans="1:24" x14ac:dyDescent="0.15">
      <c r="A40">
        <f t="shared" si="5"/>
        <v>30</v>
      </c>
      <c r="B40" s="19"/>
      <c r="C40" s="34">
        <v>0.12781475040863699</v>
      </c>
      <c r="D40" s="13"/>
      <c r="E40" s="29">
        <f t="shared" si="15"/>
        <v>1</v>
      </c>
      <c r="F40" s="28">
        <f t="shared" si="0"/>
        <v>0.02</v>
      </c>
      <c r="G40" s="1">
        <v>35</v>
      </c>
      <c r="H40" s="21">
        <v>47058</v>
      </c>
      <c r="I40" s="16">
        <v>55.459523809523802</v>
      </c>
      <c r="J40" s="25">
        <f t="shared" si="14"/>
        <v>41.665638831703106</v>
      </c>
      <c r="K40" s="25">
        <f t="shared" si="7"/>
        <v>45.4780541997632</v>
      </c>
      <c r="L40" s="25">
        <f t="shared" si="8"/>
        <v>69.251195826089756</v>
      </c>
      <c r="M40" s="25">
        <f t="shared" si="9"/>
        <v>75.587695892495489</v>
      </c>
      <c r="N40" s="25">
        <f t="shared" si="10"/>
        <v>20.128172082971687</v>
      </c>
      <c r="O40" s="25">
        <f t="shared" si="11"/>
        <v>-13.793884977820696</v>
      </c>
      <c r="P40" s="25">
        <f t="shared" si="12"/>
        <v>92750.616958333529</v>
      </c>
      <c r="Q40" s="25">
        <f t="shared" si="13"/>
        <v>-63562.221977797766</v>
      </c>
      <c r="R40" s="25">
        <f t="shared" si="1"/>
        <v>13.791672016565954</v>
      </c>
      <c r="S40" s="25">
        <f t="shared" si="2"/>
        <v>-9.9814696097606017</v>
      </c>
      <c r="T40" s="16">
        <v>4608</v>
      </c>
      <c r="U40" s="26">
        <f t="shared" si="3"/>
        <v>63552.024652335916</v>
      </c>
      <c r="V40" s="26">
        <f t="shared" si="4"/>
        <v>-45994.611961776856</v>
      </c>
      <c r="W40" s="17"/>
      <c r="X40" s="18"/>
    </row>
    <row r="41" spans="1:24" x14ac:dyDescent="0.15">
      <c r="A41">
        <f t="shared" si="5"/>
        <v>31</v>
      </c>
      <c r="B41" s="19"/>
      <c r="C41" s="34">
        <v>0.136294315191095</v>
      </c>
      <c r="D41" s="13"/>
      <c r="E41" s="29">
        <f t="shared" si="15"/>
        <v>1</v>
      </c>
      <c r="F41" s="28">
        <f t="shared" si="0"/>
        <v>0.02</v>
      </c>
      <c r="G41" s="1">
        <v>36</v>
      </c>
      <c r="H41" s="21">
        <v>47088</v>
      </c>
      <c r="I41" s="16">
        <v>85.702380952380906</v>
      </c>
      <c r="J41" s="25">
        <f t="shared" si="14"/>
        <v>63.05622464379308</v>
      </c>
      <c r="K41" s="25">
        <f t="shared" si="7"/>
        <v>69.226822019256332</v>
      </c>
      <c r="L41" s="25">
        <f t="shared" si="8"/>
        <v>108.39659596099581</v>
      </c>
      <c r="M41" s="25">
        <f t="shared" si="9"/>
        <v>119.00414112128017</v>
      </c>
      <c r="N41" s="25">
        <f t="shared" si="10"/>
        <v>33.301760168899264</v>
      </c>
      <c r="O41" s="25">
        <f t="shared" si="11"/>
        <v>-22.646156308587827</v>
      </c>
      <c r="P41" s="25">
        <f t="shared" si="12"/>
        <v>242809.79374347831</v>
      </c>
      <c r="Q41" s="25">
        <f t="shared" si="13"/>
        <v>-165117.65487717555</v>
      </c>
      <c r="R41" s="25">
        <f t="shared" si="1"/>
        <v>22.694215008614904</v>
      </c>
      <c r="S41" s="25">
        <f t="shared" si="2"/>
        <v>-16.475558933124574</v>
      </c>
      <c r="T41" s="16">
        <v>7291.2</v>
      </c>
      <c r="U41" s="26">
        <f t="shared" si="3"/>
        <v>165468.06047081298</v>
      </c>
      <c r="V41" s="26">
        <f t="shared" si="4"/>
        <v>-120126.5952931979</v>
      </c>
      <c r="W41" s="17"/>
      <c r="X41" s="17"/>
    </row>
    <row r="42" spans="1:24" x14ac:dyDescent="0.15">
      <c r="A42">
        <f t="shared" si="5"/>
        <v>31</v>
      </c>
      <c r="C42" s="13"/>
      <c r="D42" s="13"/>
      <c r="E42" s="14"/>
      <c r="F42" s="15"/>
      <c r="G42" s="1">
        <v>37</v>
      </c>
      <c r="H42" s="21">
        <v>47119</v>
      </c>
      <c r="I42" s="16"/>
      <c r="J42" s="16"/>
      <c r="K42" s="25">
        <f t="shared" si="7"/>
        <v>0</v>
      </c>
      <c r="L42" s="16"/>
      <c r="M42" s="16"/>
      <c r="N42" s="16">
        <f t="shared" si="10"/>
        <v>0</v>
      </c>
      <c r="O42" s="16"/>
      <c r="P42" s="25">
        <f t="shared" si="12"/>
        <v>0</v>
      </c>
      <c r="Q42" s="25">
        <f t="shared" si="13"/>
        <v>0</v>
      </c>
      <c r="R42" s="16"/>
      <c r="S42" s="16">
        <f t="shared" si="2"/>
        <v>0</v>
      </c>
      <c r="T42" s="16"/>
      <c r="U42" s="16"/>
      <c r="V42" s="16"/>
      <c r="W42" s="17"/>
      <c r="X42" s="17"/>
    </row>
    <row r="43" spans="1:24" x14ac:dyDescent="0.15">
      <c r="A43">
        <f t="shared" si="5"/>
        <v>28</v>
      </c>
      <c r="C43" s="13"/>
      <c r="D43" s="13"/>
      <c r="E43" s="14"/>
      <c r="F43" s="15"/>
      <c r="G43" s="1">
        <v>38</v>
      </c>
      <c r="H43" s="21">
        <v>47150</v>
      </c>
      <c r="I43" s="16"/>
      <c r="J43" s="16"/>
      <c r="K43" s="25">
        <f t="shared" si="7"/>
        <v>0</v>
      </c>
      <c r="L43" s="16"/>
      <c r="M43" s="16"/>
      <c r="N43" s="16">
        <f t="shared" si="10"/>
        <v>0</v>
      </c>
      <c r="O43" s="16"/>
      <c r="P43" s="25">
        <f t="shared" si="12"/>
        <v>0</v>
      </c>
      <c r="Q43" s="25">
        <f t="shared" si="13"/>
        <v>0</v>
      </c>
      <c r="R43" s="16"/>
      <c r="S43" s="16">
        <f t="shared" si="2"/>
        <v>0</v>
      </c>
      <c r="T43" s="16"/>
      <c r="U43" s="16"/>
      <c r="V43" s="16"/>
      <c r="W43" s="17"/>
      <c r="X43" s="17"/>
    </row>
    <row r="44" spans="1:24" x14ac:dyDescent="0.15">
      <c r="A44">
        <f t="shared" si="5"/>
        <v>31</v>
      </c>
      <c r="C44" s="13"/>
      <c r="D44" s="13"/>
      <c r="E44" s="14"/>
      <c r="F44" s="15"/>
      <c r="G44" s="1">
        <v>39</v>
      </c>
      <c r="H44" s="21">
        <v>47178</v>
      </c>
      <c r="I44" s="16"/>
      <c r="J44" s="16"/>
      <c r="K44" s="25">
        <f t="shared" si="7"/>
        <v>0</v>
      </c>
      <c r="L44" s="16"/>
      <c r="M44" s="16"/>
      <c r="N44" s="16">
        <f t="shared" si="10"/>
        <v>0</v>
      </c>
      <c r="O44" s="16"/>
      <c r="P44" s="25">
        <f t="shared" si="12"/>
        <v>0</v>
      </c>
      <c r="Q44" s="25">
        <f t="shared" si="13"/>
        <v>0</v>
      </c>
      <c r="R44" s="16"/>
      <c r="S44" s="16">
        <f t="shared" si="2"/>
        <v>0</v>
      </c>
      <c r="T44" s="16"/>
      <c r="U44" s="16"/>
      <c r="V44" s="16"/>
      <c r="W44" s="17"/>
      <c r="X44" s="17"/>
    </row>
    <row r="45" spans="1:24" x14ac:dyDescent="0.15">
      <c r="A45">
        <f t="shared" si="5"/>
        <v>30</v>
      </c>
      <c r="C45" s="13"/>
      <c r="D45" s="13"/>
      <c r="E45" s="14"/>
      <c r="F45" s="15"/>
      <c r="G45" s="1">
        <v>40</v>
      </c>
      <c r="H45" s="21">
        <v>47209</v>
      </c>
      <c r="I45" s="16"/>
      <c r="J45" s="16"/>
      <c r="K45" s="25">
        <f t="shared" si="7"/>
        <v>0</v>
      </c>
      <c r="L45" s="16"/>
      <c r="M45" s="16"/>
      <c r="N45" s="16">
        <f t="shared" si="10"/>
        <v>0</v>
      </c>
      <c r="O45" s="16"/>
      <c r="P45" s="25">
        <f t="shared" si="12"/>
        <v>0</v>
      </c>
      <c r="Q45" s="25">
        <f t="shared" si="13"/>
        <v>0</v>
      </c>
      <c r="R45" s="16"/>
      <c r="S45" s="16">
        <f t="shared" si="2"/>
        <v>0</v>
      </c>
      <c r="T45" s="16"/>
      <c r="U45" s="16"/>
      <c r="V45" s="16"/>
      <c r="W45" s="17"/>
      <c r="X45" s="17"/>
    </row>
    <row r="46" spans="1:24" x14ac:dyDescent="0.15">
      <c r="A46">
        <f t="shared" si="5"/>
        <v>31</v>
      </c>
      <c r="C46" s="13"/>
      <c r="D46" s="13"/>
      <c r="E46" s="14"/>
      <c r="F46" s="15"/>
      <c r="G46" s="1">
        <v>41</v>
      </c>
      <c r="H46" s="21">
        <v>47239</v>
      </c>
      <c r="I46" s="16"/>
      <c r="J46" s="16"/>
      <c r="K46" s="25">
        <f t="shared" si="7"/>
        <v>0</v>
      </c>
      <c r="L46" s="16"/>
      <c r="M46" s="16"/>
      <c r="N46" s="16">
        <f t="shared" si="10"/>
        <v>0</v>
      </c>
      <c r="O46" s="16"/>
      <c r="P46" s="25">
        <f t="shared" si="12"/>
        <v>0</v>
      </c>
      <c r="Q46" s="25">
        <f t="shared" si="13"/>
        <v>0</v>
      </c>
      <c r="R46" s="16"/>
      <c r="S46" s="16">
        <f t="shared" si="2"/>
        <v>0</v>
      </c>
      <c r="T46" s="16"/>
      <c r="U46" s="16"/>
      <c r="V46" s="16"/>
      <c r="W46" s="17"/>
      <c r="X46" s="17"/>
    </row>
    <row r="47" spans="1:24" x14ac:dyDescent="0.15">
      <c r="A47">
        <f t="shared" si="5"/>
        <v>30</v>
      </c>
      <c r="C47" s="13"/>
      <c r="D47" s="13"/>
      <c r="E47" s="14"/>
      <c r="F47" s="15"/>
      <c r="G47" s="1">
        <v>42</v>
      </c>
      <c r="H47" s="21">
        <v>47270</v>
      </c>
      <c r="I47" s="16"/>
      <c r="J47" s="16"/>
      <c r="K47" s="25">
        <f t="shared" si="7"/>
        <v>0</v>
      </c>
      <c r="L47" s="16"/>
      <c r="M47" s="16"/>
      <c r="N47" s="16">
        <f t="shared" si="10"/>
        <v>0</v>
      </c>
      <c r="O47" s="16"/>
      <c r="P47" s="25">
        <f t="shared" si="12"/>
        <v>0</v>
      </c>
      <c r="Q47" s="25">
        <f t="shared" si="13"/>
        <v>0</v>
      </c>
      <c r="R47" s="16"/>
      <c r="S47" s="16">
        <f t="shared" si="2"/>
        <v>0</v>
      </c>
      <c r="T47" s="16"/>
      <c r="U47" s="16"/>
      <c r="V47" s="16"/>
      <c r="W47" s="17"/>
      <c r="X47" s="17"/>
    </row>
    <row r="48" spans="1:24" x14ac:dyDescent="0.15">
      <c r="A48">
        <f t="shared" si="5"/>
        <v>31</v>
      </c>
      <c r="C48" s="13"/>
      <c r="D48" s="13"/>
      <c r="E48" s="14"/>
      <c r="F48" s="15"/>
      <c r="G48" s="1">
        <v>43</v>
      </c>
      <c r="H48" s="21">
        <v>47300</v>
      </c>
      <c r="I48" s="16"/>
      <c r="J48" s="16"/>
      <c r="K48" s="25">
        <f t="shared" si="7"/>
        <v>0</v>
      </c>
      <c r="L48" s="16"/>
      <c r="M48" s="16"/>
      <c r="N48" s="16">
        <f t="shared" si="10"/>
        <v>0</v>
      </c>
      <c r="O48" s="16"/>
      <c r="P48" s="25">
        <f t="shared" si="12"/>
        <v>0</v>
      </c>
      <c r="Q48" s="25">
        <f t="shared" si="13"/>
        <v>0</v>
      </c>
      <c r="R48" s="16"/>
      <c r="S48" s="16">
        <f t="shared" si="2"/>
        <v>0</v>
      </c>
      <c r="T48" s="16"/>
      <c r="U48" s="16"/>
      <c r="V48" s="16"/>
      <c r="W48" s="17"/>
      <c r="X48" s="17"/>
    </row>
    <row r="49" spans="1:24" x14ac:dyDescent="0.15">
      <c r="A49">
        <f t="shared" si="5"/>
        <v>31</v>
      </c>
      <c r="C49" s="13"/>
      <c r="D49" s="13"/>
      <c r="E49" s="14"/>
      <c r="F49" s="15"/>
      <c r="G49" s="1">
        <v>44</v>
      </c>
      <c r="H49" s="21">
        <v>47331</v>
      </c>
      <c r="I49" s="16"/>
      <c r="J49" s="16"/>
      <c r="K49" s="25">
        <f t="shared" si="7"/>
        <v>0</v>
      </c>
      <c r="L49" s="16"/>
      <c r="M49" s="16"/>
      <c r="N49" s="16">
        <f t="shared" si="10"/>
        <v>0</v>
      </c>
      <c r="O49" s="16"/>
      <c r="P49" s="25">
        <f t="shared" si="12"/>
        <v>0</v>
      </c>
      <c r="Q49" s="25">
        <f t="shared" si="13"/>
        <v>0</v>
      </c>
      <c r="R49" s="16"/>
      <c r="S49" s="16">
        <f t="shared" si="2"/>
        <v>0</v>
      </c>
      <c r="T49" s="16"/>
      <c r="U49" s="16"/>
      <c r="V49" s="16"/>
      <c r="W49" s="17"/>
      <c r="X49" s="17"/>
    </row>
    <row r="50" spans="1:24" x14ac:dyDescent="0.15">
      <c r="A50">
        <f t="shared" si="5"/>
        <v>30</v>
      </c>
      <c r="C50" s="13"/>
      <c r="D50" s="13"/>
      <c r="E50" s="14"/>
      <c r="F50" s="15"/>
      <c r="G50" s="1">
        <v>45</v>
      </c>
      <c r="H50" s="21">
        <v>47362</v>
      </c>
      <c r="I50" s="16"/>
      <c r="J50" s="16"/>
      <c r="K50" s="25">
        <f t="shared" si="7"/>
        <v>0</v>
      </c>
      <c r="L50" s="16"/>
      <c r="M50" s="16"/>
      <c r="N50" s="16">
        <f t="shared" si="10"/>
        <v>0</v>
      </c>
      <c r="O50" s="16"/>
      <c r="P50" s="25">
        <f t="shared" si="12"/>
        <v>0</v>
      </c>
      <c r="Q50" s="25">
        <f t="shared" si="13"/>
        <v>0</v>
      </c>
      <c r="R50" s="16"/>
      <c r="S50" s="16">
        <f t="shared" si="2"/>
        <v>0</v>
      </c>
      <c r="T50" s="16"/>
      <c r="U50" s="16"/>
      <c r="V50" s="16"/>
      <c r="W50" s="17"/>
      <c r="X50" s="17"/>
    </row>
    <row r="51" spans="1:24" x14ac:dyDescent="0.15">
      <c r="A51">
        <f t="shared" si="5"/>
        <v>31</v>
      </c>
      <c r="C51" s="13"/>
      <c r="D51" s="13"/>
      <c r="E51" s="14"/>
      <c r="F51" s="15"/>
      <c r="G51" s="1">
        <v>46</v>
      </c>
      <c r="H51" s="21">
        <v>47392</v>
      </c>
      <c r="I51" s="16"/>
      <c r="J51" s="16"/>
      <c r="K51" s="25">
        <f t="shared" si="7"/>
        <v>0</v>
      </c>
      <c r="L51" s="16"/>
      <c r="M51" s="16"/>
      <c r="N51" s="16">
        <f t="shared" si="10"/>
        <v>0</v>
      </c>
      <c r="O51" s="16"/>
      <c r="P51" s="25">
        <f t="shared" si="12"/>
        <v>0</v>
      </c>
      <c r="Q51" s="25">
        <f t="shared" si="13"/>
        <v>0</v>
      </c>
      <c r="R51" s="16"/>
      <c r="S51" s="16">
        <f t="shared" si="2"/>
        <v>0</v>
      </c>
      <c r="T51" s="16"/>
      <c r="U51" s="16"/>
      <c r="V51" s="16"/>
      <c r="W51" s="17"/>
      <c r="X51" s="17"/>
    </row>
    <row r="52" spans="1:24" x14ac:dyDescent="0.15">
      <c r="A52">
        <f t="shared" si="5"/>
        <v>30</v>
      </c>
      <c r="C52" s="13"/>
      <c r="D52" s="13"/>
      <c r="E52" s="14"/>
      <c r="F52" s="15"/>
      <c r="G52" s="1">
        <v>47</v>
      </c>
      <c r="H52" s="21">
        <v>47423</v>
      </c>
      <c r="I52" s="16"/>
      <c r="J52" s="16"/>
      <c r="K52" s="25">
        <f t="shared" si="7"/>
        <v>0</v>
      </c>
      <c r="L52" s="16"/>
      <c r="M52" s="16"/>
      <c r="N52" s="16">
        <f t="shared" si="10"/>
        <v>0</v>
      </c>
      <c r="O52" s="16"/>
      <c r="P52" s="25">
        <f t="shared" si="12"/>
        <v>0</v>
      </c>
      <c r="Q52" s="25">
        <f t="shared" si="13"/>
        <v>0</v>
      </c>
      <c r="R52" s="16"/>
      <c r="S52" s="16">
        <f t="shared" si="2"/>
        <v>0</v>
      </c>
      <c r="T52" s="16"/>
      <c r="U52" s="16"/>
      <c r="V52" s="16"/>
      <c r="W52" s="17"/>
      <c r="X52" s="17"/>
    </row>
    <row r="53" spans="1:24" x14ac:dyDescent="0.15">
      <c r="A53">
        <f t="shared" si="5"/>
        <v>31</v>
      </c>
      <c r="C53" s="13"/>
      <c r="D53" s="13"/>
      <c r="E53" s="14"/>
      <c r="F53" s="15"/>
      <c r="G53" s="1">
        <v>48</v>
      </c>
      <c r="H53" s="21">
        <v>47453</v>
      </c>
      <c r="I53" s="16"/>
      <c r="J53" s="16"/>
      <c r="K53" s="25">
        <f t="shared" si="7"/>
        <v>0</v>
      </c>
      <c r="L53" s="16"/>
      <c r="M53" s="16"/>
      <c r="N53" s="16">
        <f t="shared" si="10"/>
        <v>0</v>
      </c>
      <c r="O53" s="16"/>
      <c r="P53" s="25">
        <f t="shared" si="12"/>
        <v>0</v>
      </c>
      <c r="Q53" s="25">
        <f t="shared" si="13"/>
        <v>0</v>
      </c>
      <c r="R53" s="16"/>
      <c r="S53" s="16">
        <f t="shared" si="2"/>
        <v>0</v>
      </c>
      <c r="T53" s="16"/>
      <c r="U53" s="16"/>
      <c r="V53" s="16"/>
      <c r="W53" s="17"/>
      <c r="X53" s="17"/>
    </row>
    <row r="54" spans="1:24" x14ac:dyDescent="0.15">
      <c r="A54">
        <f t="shared" si="5"/>
        <v>31</v>
      </c>
      <c r="C54" s="13"/>
      <c r="D54" s="13"/>
      <c r="E54" s="14"/>
      <c r="F54" s="15"/>
      <c r="G54" s="1">
        <v>49</v>
      </c>
      <c r="H54" s="21">
        <v>47484</v>
      </c>
      <c r="I54" s="16"/>
      <c r="J54" s="16"/>
      <c r="K54" s="25">
        <f t="shared" si="7"/>
        <v>0</v>
      </c>
      <c r="L54" s="16"/>
      <c r="M54" s="16"/>
      <c r="N54" s="16">
        <f t="shared" si="10"/>
        <v>0</v>
      </c>
      <c r="O54" s="16"/>
      <c r="P54" s="25">
        <f t="shared" si="12"/>
        <v>0</v>
      </c>
      <c r="Q54" s="25">
        <f t="shared" si="13"/>
        <v>0</v>
      </c>
      <c r="R54" s="16"/>
      <c r="S54" s="16">
        <f t="shared" si="2"/>
        <v>0</v>
      </c>
      <c r="T54" s="16"/>
      <c r="U54" s="16"/>
      <c r="V54" s="16"/>
      <c r="W54" s="17"/>
      <c r="X54" s="17"/>
    </row>
    <row r="55" spans="1:24" x14ac:dyDescent="0.15">
      <c r="A55">
        <f t="shared" si="5"/>
        <v>28</v>
      </c>
      <c r="C55" s="13"/>
      <c r="D55" s="13"/>
      <c r="E55" s="14"/>
      <c r="F55" s="15"/>
      <c r="G55" s="1">
        <v>50</v>
      </c>
      <c r="H55" s="21">
        <v>47515</v>
      </c>
      <c r="I55" s="16"/>
      <c r="J55" s="16"/>
      <c r="K55" s="25">
        <f t="shared" si="7"/>
        <v>0</v>
      </c>
      <c r="L55" s="16"/>
      <c r="M55" s="16"/>
      <c r="N55" s="16">
        <f t="shared" si="10"/>
        <v>0</v>
      </c>
      <c r="O55" s="16"/>
      <c r="P55" s="25">
        <f t="shared" si="12"/>
        <v>0</v>
      </c>
      <c r="Q55" s="25">
        <f t="shared" si="13"/>
        <v>0</v>
      </c>
      <c r="R55" s="16"/>
      <c r="S55" s="16">
        <f t="shared" si="2"/>
        <v>0</v>
      </c>
      <c r="T55" s="16"/>
      <c r="U55" s="16"/>
      <c r="V55" s="16"/>
      <c r="W55" s="17"/>
      <c r="X55" s="17"/>
    </row>
    <row r="56" spans="1:24" x14ac:dyDescent="0.15">
      <c r="A56">
        <f t="shared" si="5"/>
        <v>31</v>
      </c>
      <c r="C56" s="13"/>
      <c r="D56" s="13"/>
      <c r="E56" s="14"/>
      <c r="F56" s="15"/>
      <c r="G56" s="1">
        <v>51</v>
      </c>
      <c r="H56" s="21">
        <v>47543</v>
      </c>
      <c r="I56" s="16"/>
      <c r="J56" s="16"/>
      <c r="K56" s="25">
        <f t="shared" si="7"/>
        <v>0</v>
      </c>
      <c r="L56" s="16"/>
      <c r="M56" s="16"/>
      <c r="N56" s="16">
        <f t="shared" si="10"/>
        <v>0</v>
      </c>
      <c r="O56" s="16"/>
      <c r="P56" s="25">
        <f t="shared" si="12"/>
        <v>0</v>
      </c>
      <c r="Q56" s="25">
        <f t="shared" si="13"/>
        <v>0</v>
      </c>
      <c r="R56" s="16"/>
      <c r="S56" s="16">
        <f t="shared" si="2"/>
        <v>0</v>
      </c>
      <c r="T56" s="16"/>
      <c r="U56" s="16"/>
      <c r="V56" s="16"/>
      <c r="W56" s="17"/>
      <c r="X56" s="17"/>
    </row>
    <row r="57" spans="1:24" x14ac:dyDescent="0.15">
      <c r="A57">
        <f t="shared" si="5"/>
        <v>30</v>
      </c>
      <c r="C57" s="13"/>
      <c r="D57" s="13"/>
      <c r="E57" s="14"/>
      <c r="F57" s="15"/>
      <c r="G57" s="1">
        <v>52</v>
      </c>
      <c r="H57" s="21">
        <v>47574</v>
      </c>
      <c r="I57" s="16"/>
      <c r="J57" s="16"/>
      <c r="K57" s="25">
        <f t="shared" si="7"/>
        <v>0</v>
      </c>
      <c r="L57" s="16"/>
      <c r="M57" s="16"/>
      <c r="N57" s="16">
        <f t="shared" si="10"/>
        <v>0</v>
      </c>
      <c r="O57" s="16"/>
      <c r="P57" s="25">
        <f t="shared" si="12"/>
        <v>0</v>
      </c>
      <c r="Q57" s="25">
        <f t="shared" si="13"/>
        <v>0</v>
      </c>
      <c r="R57" s="16"/>
      <c r="S57" s="16">
        <f t="shared" si="2"/>
        <v>0</v>
      </c>
      <c r="T57" s="16"/>
      <c r="U57" s="16"/>
      <c r="V57" s="16"/>
      <c r="W57" s="17"/>
      <c r="X57" s="17"/>
    </row>
    <row r="58" spans="1:24" x14ac:dyDescent="0.15">
      <c r="A58">
        <f t="shared" si="5"/>
        <v>31</v>
      </c>
      <c r="C58" s="13"/>
      <c r="D58" s="13"/>
      <c r="E58" s="14"/>
      <c r="F58" s="15"/>
      <c r="G58" s="1">
        <v>53</v>
      </c>
      <c r="H58" s="21">
        <v>47604</v>
      </c>
      <c r="I58" s="16"/>
      <c r="J58" s="16"/>
      <c r="K58" s="25">
        <f t="shared" si="7"/>
        <v>0</v>
      </c>
      <c r="L58" s="16"/>
      <c r="M58" s="16"/>
      <c r="N58" s="16">
        <f t="shared" si="10"/>
        <v>0</v>
      </c>
      <c r="O58" s="16"/>
      <c r="P58" s="25">
        <f t="shared" si="12"/>
        <v>0</v>
      </c>
      <c r="Q58" s="25">
        <f t="shared" si="13"/>
        <v>0</v>
      </c>
      <c r="R58" s="16"/>
      <c r="S58" s="16">
        <f t="shared" si="2"/>
        <v>0</v>
      </c>
      <c r="T58" s="16"/>
      <c r="U58" s="16"/>
      <c r="V58" s="16"/>
      <c r="W58" s="17"/>
      <c r="X58" s="17"/>
    </row>
    <row r="59" spans="1:24" x14ac:dyDescent="0.15">
      <c r="A59">
        <f t="shared" si="5"/>
        <v>30</v>
      </c>
      <c r="C59" s="13"/>
      <c r="D59" s="13"/>
      <c r="E59" s="14"/>
      <c r="F59" s="15"/>
      <c r="G59" s="1">
        <v>54</v>
      </c>
      <c r="H59" s="21">
        <v>47635</v>
      </c>
      <c r="I59" s="16"/>
      <c r="J59" s="16"/>
      <c r="K59" s="25">
        <f t="shared" si="7"/>
        <v>0</v>
      </c>
      <c r="L59" s="16"/>
      <c r="M59" s="16"/>
      <c r="N59" s="16">
        <f t="shared" si="10"/>
        <v>0</v>
      </c>
      <c r="O59" s="16"/>
      <c r="P59" s="25">
        <f t="shared" si="12"/>
        <v>0</v>
      </c>
      <c r="Q59" s="25">
        <f t="shared" si="13"/>
        <v>0</v>
      </c>
      <c r="R59" s="16"/>
      <c r="S59" s="16">
        <f t="shared" si="2"/>
        <v>0</v>
      </c>
      <c r="T59" s="16"/>
      <c r="U59" s="16"/>
      <c r="V59" s="16"/>
      <c r="W59" s="17"/>
      <c r="X59" s="17"/>
    </row>
    <row r="60" spans="1:24" x14ac:dyDescent="0.15">
      <c r="A60">
        <f t="shared" si="5"/>
        <v>31</v>
      </c>
      <c r="C60" s="13"/>
      <c r="D60" s="13"/>
      <c r="E60" s="14"/>
      <c r="F60" s="15"/>
      <c r="G60" s="1">
        <v>55</v>
      </c>
      <c r="H60" s="21">
        <v>47665</v>
      </c>
      <c r="I60" s="16"/>
      <c r="J60" s="16"/>
      <c r="K60" s="25">
        <f t="shared" si="7"/>
        <v>0</v>
      </c>
      <c r="L60" s="16"/>
      <c r="M60" s="16"/>
      <c r="N60" s="16">
        <f t="shared" si="10"/>
        <v>0</v>
      </c>
      <c r="O60" s="16"/>
      <c r="P60" s="25">
        <f t="shared" si="12"/>
        <v>0</v>
      </c>
      <c r="Q60" s="25">
        <f t="shared" si="13"/>
        <v>0</v>
      </c>
      <c r="R60" s="16"/>
      <c r="S60" s="16">
        <f t="shared" si="2"/>
        <v>0</v>
      </c>
      <c r="T60" s="16"/>
      <c r="U60" s="16"/>
      <c r="V60" s="16"/>
      <c r="W60" s="17"/>
      <c r="X60" s="17"/>
    </row>
    <row r="61" spans="1:24" x14ac:dyDescent="0.15">
      <c r="A61">
        <f t="shared" si="5"/>
        <v>31</v>
      </c>
      <c r="C61" s="13"/>
      <c r="D61" s="13"/>
      <c r="E61" s="14"/>
      <c r="F61" s="15"/>
      <c r="G61" s="1">
        <v>56</v>
      </c>
      <c r="H61" s="21">
        <v>47696</v>
      </c>
      <c r="I61" s="16"/>
      <c r="J61" s="16"/>
      <c r="K61" s="25">
        <f t="shared" si="7"/>
        <v>0</v>
      </c>
      <c r="L61" s="16"/>
      <c r="M61" s="16"/>
      <c r="N61" s="16">
        <f t="shared" si="10"/>
        <v>0</v>
      </c>
      <c r="O61" s="16"/>
      <c r="P61" s="25">
        <f t="shared" si="12"/>
        <v>0</v>
      </c>
      <c r="Q61" s="25">
        <f t="shared" si="13"/>
        <v>0</v>
      </c>
      <c r="R61" s="16"/>
      <c r="S61" s="16">
        <f t="shared" si="2"/>
        <v>0</v>
      </c>
      <c r="T61" s="16"/>
      <c r="U61" s="16"/>
      <c r="V61" s="16"/>
      <c r="W61" s="17"/>
      <c r="X61" s="17"/>
    </row>
    <row r="62" spans="1:24" x14ac:dyDescent="0.15">
      <c r="A62">
        <f t="shared" si="5"/>
        <v>30</v>
      </c>
      <c r="C62" s="13"/>
      <c r="D62" s="13"/>
      <c r="E62" s="14"/>
      <c r="F62" s="15"/>
      <c r="G62" s="1">
        <v>57</v>
      </c>
      <c r="H62" s="21">
        <v>47727</v>
      </c>
      <c r="I62" s="16"/>
      <c r="J62" s="16"/>
      <c r="K62" s="25">
        <f t="shared" si="7"/>
        <v>0</v>
      </c>
      <c r="L62" s="16"/>
      <c r="M62" s="16"/>
      <c r="N62" s="16">
        <f t="shared" si="10"/>
        <v>0</v>
      </c>
      <c r="O62" s="16"/>
      <c r="P62" s="25">
        <f t="shared" si="12"/>
        <v>0</v>
      </c>
      <c r="Q62" s="25">
        <f t="shared" si="13"/>
        <v>0</v>
      </c>
      <c r="R62" s="16"/>
      <c r="S62" s="16">
        <f t="shared" si="2"/>
        <v>0</v>
      </c>
      <c r="T62" s="16"/>
      <c r="U62" s="16"/>
      <c r="V62" s="16"/>
      <c r="W62" s="17"/>
      <c r="X62" s="17"/>
    </row>
    <row r="63" spans="1:24" x14ac:dyDescent="0.15">
      <c r="A63">
        <f t="shared" si="5"/>
        <v>31</v>
      </c>
      <c r="C63" s="13"/>
      <c r="D63" s="13"/>
      <c r="E63" s="14"/>
      <c r="F63" s="15"/>
      <c r="G63" s="1">
        <v>58</v>
      </c>
      <c r="H63" s="21">
        <v>47757</v>
      </c>
      <c r="I63" s="16"/>
      <c r="J63" s="16"/>
      <c r="K63" s="25">
        <f t="shared" si="7"/>
        <v>0</v>
      </c>
      <c r="L63" s="16"/>
      <c r="M63" s="16"/>
      <c r="N63" s="16">
        <f t="shared" si="10"/>
        <v>0</v>
      </c>
      <c r="O63" s="16"/>
      <c r="P63" s="25">
        <f t="shared" si="12"/>
        <v>0</v>
      </c>
      <c r="Q63" s="25">
        <f t="shared" si="13"/>
        <v>0</v>
      </c>
      <c r="R63" s="16"/>
      <c r="S63" s="16">
        <f t="shared" si="2"/>
        <v>0</v>
      </c>
      <c r="T63" s="16"/>
      <c r="U63" s="16"/>
      <c r="V63" s="16"/>
      <c r="W63" s="17"/>
      <c r="X63" s="17"/>
    </row>
    <row r="64" spans="1:24" x14ac:dyDescent="0.15">
      <c r="A64">
        <f t="shared" si="5"/>
        <v>30</v>
      </c>
      <c r="C64" s="13"/>
      <c r="D64" s="13"/>
      <c r="E64" s="14"/>
      <c r="F64" s="15"/>
      <c r="G64" s="1">
        <v>59</v>
      </c>
      <c r="H64" s="21">
        <v>47788</v>
      </c>
      <c r="I64" s="16"/>
      <c r="J64" s="16"/>
      <c r="K64" s="25">
        <f t="shared" si="7"/>
        <v>0</v>
      </c>
      <c r="L64" s="16"/>
      <c r="M64" s="16"/>
      <c r="N64" s="16">
        <f t="shared" si="10"/>
        <v>0</v>
      </c>
      <c r="O64" s="16"/>
      <c r="P64" s="25">
        <f t="shared" si="12"/>
        <v>0</v>
      </c>
      <c r="Q64" s="25">
        <f t="shared" si="13"/>
        <v>0</v>
      </c>
      <c r="R64" s="16"/>
      <c r="S64" s="16">
        <f t="shared" si="2"/>
        <v>0</v>
      </c>
      <c r="T64" s="16"/>
      <c r="U64" s="16"/>
      <c r="V64" s="16"/>
      <c r="W64" s="17"/>
      <c r="X64" s="17"/>
    </row>
    <row r="65" spans="1:24" x14ac:dyDescent="0.15">
      <c r="A65">
        <f t="shared" si="5"/>
        <v>31</v>
      </c>
      <c r="C65" s="13"/>
      <c r="D65" s="13"/>
      <c r="E65" s="14"/>
      <c r="F65" s="15"/>
      <c r="G65" s="1">
        <v>60</v>
      </c>
      <c r="H65" s="21">
        <v>47818</v>
      </c>
      <c r="I65" s="16"/>
      <c r="J65" s="16"/>
      <c r="K65" s="25">
        <f t="shared" si="7"/>
        <v>0</v>
      </c>
      <c r="L65" s="16"/>
      <c r="M65" s="16"/>
      <c r="N65" s="16">
        <f t="shared" si="10"/>
        <v>0</v>
      </c>
      <c r="O65" s="16"/>
      <c r="P65" s="25">
        <f t="shared" si="12"/>
        <v>0</v>
      </c>
      <c r="Q65" s="25">
        <f t="shared" si="13"/>
        <v>0</v>
      </c>
      <c r="R65" s="16"/>
      <c r="S65" s="16">
        <f t="shared" si="2"/>
        <v>0</v>
      </c>
      <c r="T65" s="16"/>
      <c r="U65" s="16"/>
      <c r="V65" s="16"/>
      <c r="W65" s="17"/>
      <c r="X65" s="17"/>
    </row>
    <row r="66" spans="1:24" x14ac:dyDescent="0.15">
      <c r="A66">
        <f t="shared" si="5"/>
        <v>31</v>
      </c>
      <c r="C66" s="13"/>
      <c r="D66" s="13"/>
      <c r="E66" s="14"/>
      <c r="F66" s="15"/>
      <c r="G66" s="1">
        <v>61</v>
      </c>
      <c r="H66" s="21">
        <v>47849</v>
      </c>
      <c r="I66" s="16"/>
      <c r="J66" s="16"/>
      <c r="K66" s="25">
        <f t="shared" si="7"/>
        <v>0</v>
      </c>
      <c r="L66" s="16"/>
      <c r="M66" s="16"/>
      <c r="N66" s="16">
        <f t="shared" si="10"/>
        <v>0</v>
      </c>
      <c r="O66" s="16"/>
      <c r="P66" s="25">
        <f t="shared" si="12"/>
        <v>0</v>
      </c>
      <c r="Q66" s="25">
        <f t="shared" si="13"/>
        <v>0</v>
      </c>
      <c r="R66" s="16"/>
      <c r="S66" s="16">
        <f t="shared" si="2"/>
        <v>0</v>
      </c>
      <c r="T66" s="16"/>
      <c r="U66" s="16"/>
      <c r="V66" s="16"/>
      <c r="W66" s="17"/>
      <c r="X66" s="17"/>
    </row>
    <row r="67" spans="1:24" x14ac:dyDescent="0.15">
      <c r="A67">
        <f t="shared" si="5"/>
        <v>28</v>
      </c>
      <c r="C67" s="13"/>
      <c r="D67" s="13"/>
      <c r="E67" s="14"/>
      <c r="F67" s="15"/>
      <c r="G67" s="1">
        <v>62</v>
      </c>
      <c r="H67" s="21">
        <v>47880</v>
      </c>
      <c r="I67" s="16"/>
      <c r="J67" s="16"/>
      <c r="K67" s="25">
        <f t="shared" si="7"/>
        <v>0</v>
      </c>
      <c r="L67" s="16"/>
      <c r="M67" s="16"/>
      <c r="N67" s="16">
        <f t="shared" si="10"/>
        <v>0</v>
      </c>
      <c r="O67" s="16"/>
      <c r="P67" s="25">
        <f t="shared" si="12"/>
        <v>0</v>
      </c>
      <c r="Q67" s="25">
        <f t="shared" si="13"/>
        <v>0</v>
      </c>
      <c r="R67" s="16"/>
      <c r="S67" s="16">
        <f t="shared" si="2"/>
        <v>0</v>
      </c>
      <c r="T67" s="16"/>
      <c r="U67" s="16"/>
      <c r="V67" s="16"/>
      <c r="W67" s="17"/>
      <c r="X67" s="17"/>
    </row>
    <row r="68" spans="1:24" x14ac:dyDescent="0.15">
      <c r="A68">
        <f t="shared" si="5"/>
        <v>31</v>
      </c>
      <c r="C68" s="13"/>
      <c r="D68" s="13"/>
      <c r="E68" s="14"/>
      <c r="F68" s="15"/>
      <c r="G68" s="1">
        <v>63</v>
      </c>
      <c r="H68" s="21">
        <v>47908</v>
      </c>
      <c r="I68" s="16"/>
      <c r="J68" s="16"/>
      <c r="K68" s="25">
        <f t="shared" si="7"/>
        <v>0</v>
      </c>
      <c r="L68" s="16"/>
      <c r="M68" s="16"/>
      <c r="N68" s="16">
        <f t="shared" si="10"/>
        <v>0</v>
      </c>
      <c r="O68" s="16"/>
      <c r="P68" s="25">
        <f t="shared" si="12"/>
        <v>0</v>
      </c>
      <c r="Q68" s="25">
        <f t="shared" si="13"/>
        <v>0</v>
      </c>
      <c r="R68" s="16"/>
      <c r="S68" s="16">
        <f t="shared" si="2"/>
        <v>0</v>
      </c>
      <c r="T68" s="16"/>
      <c r="U68" s="16"/>
      <c r="V68" s="16"/>
      <c r="W68" s="17"/>
      <c r="X68" s="17"/>
    </row>
    <row r="69" spans="1:24" x14ac:dyDescent="0.15">
      <c r="A69">
        <f t="shared" si="5"/>
        <v>30</v>
      </c>
      <c r="C69" s="13"/>
      <c r="D69" s="13"/>
      <c r="E69" s="14"/>
      <c r="F69" s="15"/>
      <c r="G69" s="1">
        <v>64</v>
      </c>
      <c r="H69" s="21">
        <v>47939</v>
      </c>
      <c r="I69" s="16"/>
      <c r="J69" s="16"/>
      <c r="K69" s="25">
        <f t="shared" si="7"/>
        <v>0</v>
      </c>
      <c r="L69" s="16"/>
      <c r="M69" s="16"/>
      <c r="N69" s="16">
        <f t="shared" si="10"/>
        <v>0</v>
      </c>
      <c r="O69" s="16"/>
      <c r="P69" s="25">
        <f t="shared" si="12"/>
        <v>0</v>
      </c>
      <c r="Q69" s="25">
        <f t="shared" si="13"/>
        <v>0</v>
      </c>
      <c r="R69" s="16"/>
      <c r="S69" s="16">
        <f t="shared" si="2"/>
        <v>0</v>
      </c>
      <c r="T69" s="16"/>
      <c r="U69" s="16"/>
      <c r="V69" s="16"/>
      <c r="W69" s="17"/>
      <c r="X69" s="17"/>
    </row>
    <row r="70" spans="1:24" x14ac:dyDescent="0.15">
      <c r="A70">
        <f t="shared" si="5"/>
        <v>31</v>
      </c>
      <c r="C70" s="13"/>
      <c r="D70" s="13"/>
      <c r="E70" s="14"/>
      <c r="F70" s="15"/>
      <c r="G70" s="1">
        <v>65</v>
      </c>
      <c r="H70" s="21">
        <v>47969</v>
      </c>
      <c r="I70" s="16"/>
      <c r="J70" s="16"/>
      <c r="K70" s="25">
        <f t="shared" si="7"/>
        <v>0</v>
      </c>
      <c r="L70" s="16"/>
      <c r="M70" s="16"/>
      <c r="N70" s="16">
        <f t="shared" si="10"/>
        <v>0</v>
      </c>
      <c r="O70" s="16"/>
      <c r="P70" s="25">
        <f t="shared" si="12"/>
        <v>0</v>
      </c>
      <c r="Q70" s="25">
        <f t="shared" si="13"/>
        <v>0</v>
      </c>
      <c r="R70" s="16"/>
      <c r="S70" s="16">
        <f t="shared" ref="S70:S84" si="16">K70-I70</f>
        <v>0</v>
      </c>
      <c r="T70" s="16"/>
      <c r="U70" s="16"/>
      <c r="V70" s="16"/>
      <c r="W70" s="17"/>
      <c r="X70" s="17"/>
    </row>
    <row r="71" spans="1:24" x14ac:dyDescent="0.15">
      <c r="A71">
        <f t="shared" ref="A71:A84" si="17">DAY(EOMONTH(H71,0))</f>
        <v>30</v>
      </c>
      <c r="C71" s="13"/>
      <c r="D71" s="13"/>
      <c r="E71" s="14"/>
      <c r="F71" s="15"/>
      <c r="G71" s="1">
        <v>66</v>
      </c>
      <c r="H71" s="21">
        <v>48000</v>
      </c>
      <c r="I71" s="16"/>
      <c r="J71" s="16"/>
      <c r="K71" s="25">
        <f t="shared" ref="K71:K84" si="18">$I71*EXP(($F71-0.5*$C71^2)*$E71-$C71*SQRT($E71)*$G$2)</f>
        <v>0</v>
      </c>
      <c r="L71" s="16"/>
      <c r="M71" s="16"/>
      <c r="N71" s="16">
        <f t="shared" ref="N71:N84" si="19">M71-I71</f>
        <v>0</v>
      </c>
      <c r="O71" s="16"/>
      <c r="P71" s="25">
        <f t="shared" ref="P71:P84" si="20">N71*T71</f>
        <v>0</v>
      </c>
      <c r="Q71" s="25">
        <f t="shared" ref="Q71:Q84" si="21">O71*T71</f>
        <v>0</v>
      </c>
      <c r="R71" s="16"/>
      <c r="S71" s="16">
        <f t="shared" si="16"/>
        <v>0</v>
      </c>
      <c r="T71" s="16"/>
      <c r="U71" s="16"/>
      <c r="V71" s="16"/>
      <c r="W71" s="17"/>
      <c r="X71" s="17"/>
    </row>
    <row r="72" spans="1:24" x14ac:dyDescent="0.15">
      <c r="A72">
        <f t="shared" si="17"/>
        <v>31</v>
      </c>
      <c r="C72" s="13"/>
      <c r="D72" s="13"/>
      <c r="E72" s="14"/>
      <c r="F72" s="15"/>
      <c r="G72" s="1">
        <v>67</v>
      </c>
      <c r="H72" s="21">
        <v>48030</v>
      </c>
      <c r="I72" s="16"/>
      <c r="J72" s="16"/>
      <c r="K72" s="25">
        <f t="shared" si="18"/>
        <v>0</v>
      </c>
      <c r="L72" s="16"/>
      <c r="M72" s="16"/>
      <c r="N72" s="16">
        <f t="shared" si="19"/>
        <v>0</v>
      </c>
      <c r="O72" s="16"/>
      <c r="P72" s="25">
        <f t="shared" si="20"/>
        <v>0</v>
      </c>
      <c r="Q72" s="25">
        <f t="shared" si="21"/>
        <v>0</v>
      </c>
      <c r="R72" s="16"/>
      <c r="S72" s="16">
        <f t="shared" si="16"/>
        <v>0</v>
      </c>
      <c r="T72" s="16"/>
      <c r="U72" s="16"/>
      <c r="V72" s="16"/>
      <c r="W72" s="17"/>
      <c r="X72" s="17"/>
    </row>
    <row r="73" spans="1:24" x14ac:dyDescent="0.15">
      <c r="A73">
        <f t="shared" si="17"/>
        <v>31</v>
      </c>
      <c r="C73" s="13"/>
      <c r="D73" s="13"/>
      <c r="E73" s="14"/>
      <c r="F73" s="15"/>
      <c r="G73" s="1">
        <v>68</v>
      </c>
      <c r="H73" s="21">
        <v>48061</v>
      </c>
      <c r="I73" s="16"/>
      <c r="J73" s="16"/>
      <c r="K73" s="25">
        <f t="shared" si="18"/>
        <v>0</v>
      </c>
      <c r="L73" s="16"/>
      <c r="M73" s="16"/>
      <c r="N73" s="16">
        <f t="shared" si="19"/>
        <v>0</v>
      </c>
      <c r="O73" s="16"/>
      <c r="P73" s="25">
        <f t="shared" si="20"/>
        <v>0</v>
      </c>
      <c r="Q73" s="25">
        <f t="shared" si="21"/>
        <v>0</v>
      </c>
      <c r="R73" s="16"/>
      <c r="S73" s="16">
        <f t="shared" si="16"/>
        <v>0</v>
      </c>
      <c r="T73" s="16"/>
      <c r="U73" s="16"/>
      <c r="V73" s="16"/>
      <c r="W73" s="17"/>
      <c r="X73" s="17"/>
    </row>
    <row r="74" spans="1:24" x14ac:dyDescent="0.15">
      <c r="A74">
        <f t="shared" si="17"/>
        <v>30</v>
      </c>
      <c r="C74" s="13"/>
      <c r="D74" s="13"/>
      <c r="E74" s="14"/>
      <c r="F74" s="15"/>
      <c r="G74" s="1">
        <v>69</v>
      </c>
      <c r="H74" s="21">
        <v>48092</v>
      </c>
      <c r="I74" s="16"/>
      <c r="J74" s="16"/>
      <c r="K74" s="25">
        <f t="shared" si="18"/>
        <v>0</v>
      </c>
      <c r="L74" s="16"/>
      <c r="M74" s="16"/>
      <c r="N74" s="16">
        <f t="shared" si="19"/>
        <v>0</v>
      </c>
      <c r="O74" s="16"/>
      <c r="P74" s="25">
        <f t="shared" si="20"/>
        <v>0</v>
      </c>
      <c r="Q74" s="25">
        <f t="shared" si="21"/>
        <v>0</v>
      </c>
      <c r="R74" s="16"/>
      <c r="S74" s="16">
        <f t="shared" si="16"/>
        <v>0</v>
      </c>
      <c r="T74" s="16"/>
      <c r="U74" s="16"/>
      <c r="V74" s="16"/>
      <c r="W74" s="17"/>
      <c r="X74" s="17"/>
    </row>
    <row r="75" spans="1:24" x14ac:dyDescent="0.15">
      <c r="A75">
        <f t="shared" si="17"/>
        <v>31</v>
      </c>
      <c r="C75" s="13"/>
      <c r="D75" s="13"/>
      <c r="E75" s="14"/>
      <c r="F75" s="15"/>
      <c r="G75" s="1">
        <v>70</v>
      </c>
      <c r="H75" s="21">
        <v>48122</v>
      </c>
      <c r="I75" s="16"/>
      <c r="J75" s="16"/>
      <c r="K75" s="25">
        <f t="shared" si="18"/>
        <v>0</v>
      </c>
      <c r="L75" s="16"/>
      <c r="M75" s="16"/>
      <c r="N75" s="16">
        <f t="shared" si="19"/>
        <v>0</v>
      </c>
      <c r="O75" s="16"/>
      <c r="P75" s="25">
        <f t="shared" si="20"/>
        <v>0</v>
      </c>
      <c r="Q75" s="25">
        <f t="shared" si="21"/>
        <v>0</v>
      </c>
      <c r="R75" s="16"/>
      <c r="S75" s="16">
        <f t="shared" si="16"/>
        <v>0</v>
      </c>
      <c r="T75" s="16"/>
      <c r="U75" s="16"/>
      <c r="V75" s="16"/>
      <c r="W75" s="17"/>
      <c r="X75" s="17"/>
    </row>
    <row r="76" spans="1:24" x14ac:dyDescent="0.15">
      <c r="A76">
        <f t="shared" si="17"/>
        <v>30</v>
      </c>
      <c r="C76" s="13"/>
      <c r="D76" s="13"/>
      <c r="E76" s="14"/>
      <c r="F76" s="15"/>
      <c r="G76" s="1">
        <v>71</v>
      </c>
      <c r="H76" s="21">
        <v>48153</v>
      </c>
      <c r="I76" s="16"/>
      <c r="J76" s="16"/>
      <c r="K76" s="25">
        <f t="shared" si="18"/>
        <v>0</v>
      </c>
      <c r="L76" s="16"/>
      <c r="M76" s="16"/>
      <c r="N76" s="16">
        <f t="shared" si="19"/>
        <v>0</v>
      </c>
      <c r="O76" s="16"/>
      <c r="P76" s="25">
        <f t="shared" si="20"/>
        <v>0</v>
      </c>
      <c r="Q76" s="25">
        <f t="shared" si="21"/>
        <v>0</v>
      </c>
      <c r="R76" s="16"/>
      <c r="S76" s="16">
        <f t="shared" si="16"/>
        <v>0</v>
      </c>
      <c r="T76" s="16"/>
      <c r="U76" s="16"/>
      <c r="V76" s="16"/>
      <c r="W76" s="17"/>
      <c r="X76" s="17"/>
    </row>
    <row r="77" spans="1:24" x14ac:dyDescent="0.15">
      <c r="A77">
        <f t="shared" si="17"/>
        <v>31</v>
      </c>
      <c r="C77" s="13"/>
      <c r="D77" s="13"/>
      <c r="E77" s="14"/>
      <c r="F77" s="15"/>
      <c r="G77" s="1">
        <v>72</v>
      </c>
      <c r="H77" s="21">
        <v>48183</v>
      </c>
      <c r="I77" s="16"/>
      <c r="J77" s="16"/>
      <c r="K77" s="25">
        <f t="shared" si="18"/>
        <v>0</v>
      </c>
      <c r="L77" s="16"/>
      <c r="M77" s="16"/>
      <c r="N77" s="16">
        <f t="shared" si="19"/>
        <v>0</v>
      </c>
      <c r="O77" s="16"/>
      <c r="P77" s="25">
        <f t="shared" si="20"/>
        <v>0</v>
      </c>
      <c r="Q77" s="25">
        <f t="shared" si="21"/>
        <v>0</v>
      </c>
      <c r="R77" s="16"/>
      <c r="S77" s="16">
        <f t="shared" si="16"/>
        <v>0</v>
      </c>
      <c r="T77" s="16"/>
      <c r="U77" s="16"/>
      <c r="V77" s="16"/>
      <c r="W77" s="17"/>
      <c r="X77" s="17"/>
    </row>
    <row r="78" spans="1:24" x14ac:dyDescent="0.15">
      <c r="A78">
        <f t="shared" si="17"/>
        <v>31</v>
      </c>
      <c r="C78" s="13"/>
      <c r="D78" s="13"/>
      <c r="E78" s="14"/>
      <c r="F78" s="15"/>
      <c r="G78" s="1">
        <v>73</v>
      </c>
      <c r="H78" s="21">
        <v>48214</v>
      </c>
      <c r="I78" s="16"/>
      <c r="J78" s="16"/>
      <c r="K78" s="25">
        <f t="shared" si="18"/>
        <v>0</v>
      </c>
      <c r="L78" s="16"/>
      <c r="M78" s="16"/>
      <c r="N78" s="16">
        <f t="shared" si="19"/>
        <v>0</v>
      </c>
      <c r="O78" s="16"/>
      <c r="P78" s="25">
        <f t="shared" si="20"/>
        <v>0</v>
      </c>
      <c r="Q78" s="25">
        <f t="shared" si="21"/>
        <v>0</v>
      </c>
      <c r="R78" s="16"/>
      <c r="S78" s="16">
        <f t="shared" si="16"/>
        <v>0</v>
      </c>
      <c r="T78" s="16"/>
      <c r="U78" s="16"/>
      <c r="V78" s="16"/>
      <c r="W78" s="17"/>
      <c r="X78" s="17"/>
    </row>
    <row r="79" spans="1:24" x14ac:dyDescent="0.15">
      <c r="A79">
        <f t="shared" si="17"/>
        <v>29</v>
      </c>
      <c r="C79" s="13"/>
      <c r="D79" s="13"/>
      <c r="E79" s="14"/>
      <c r="F79" s="15"/>
      <c r="G79" s="1">
        <v>74</v>
      </c>
      <c r="H79" s="21">
        <v>48245</v>
      </c>
      <c r="I79" s="16"/>
      <c r="J79" s="16"/>
      <c r="K79" s="25">
        <f t="shared" si="18"/>
        <v>0</v>
      </c>
      <c r="L79" s="16"/>
      <c r="M79" s="16"/>
      <c r="N79" s="16">
        <f t="shared" si="19"/>
        <v>0</v>
      </c>
      <c r="O79" s="16"/>
      <c r="P79" s="25">
        <f t="shared" si="20"/>
        <v>0</v>
      </c>
      <c r="Q79" s="25">
        <f t="shared" si="21"/>
        <v>0</v>
      </c>
      <c r="R79" s="16"/>
      <c r="S79" s="16">
        <f t="shared" si="16"/>
        <v>0</v>
      </c>
      <c r="T79" s="16"/>
      <c r="U79" s="16"/>
      <c r="V79" s="16"/>
      <c r="W79" s="17"/>
      <c r="X79" s="17"/>
    </row>
    <row r="80" spans="1:24" x14ac:dyDescent="0.15">
      <c r="A80">
        <f t="shared" si="17"/>
        <v>31</v>
      </c>
      <c r="C80" s="13"/>
      <c r="D80" s="13"/>
      <c r="E80" s="14"/>
      <c r="F80" s="15"/>
      <c r="G80" s="1">
        <v>75</v>
      </c>
      <c r="H80" s="21">
        <v>48274</v>
      </c>
      <c r="I80" s="16"/>
      <c r="J80" s="16"/>
      <c r="K80" s="25">
        <f t="shared" si="18"/>
        <v>0</v>
      </c>
      <c r="L80" s="16"/>
      <c r="M80" s="16"/>
      <c r="N80" s="16">
        <f t="shared" si="19"/>
        <v>0</v>
      </c>
      <c r="O80" s="16"/>
      <c r="P80" s="25">
        <f t="shared" si="20"/>
        <v>0</v>
      </c>
      <c r="Q80" s="25">
        <f t="shared" si="21"/>
        <v>0</v>
      </c>
      <c r="R80" s="16"/>
      <c r="S80" s="16">
        <f t="shared" si="16"/>
        <v>0</v>
      </c>
      <c r="T80" s="16"/>
      <c r="U80" s="16"/>
      <c r="V80" s="16"/>
      <c r="W80" s="17"/>
      <c r="X80" s="17"/>
    </row>
    <row r="81" spans="1:24" x14ac:dyDescent="0.15">
      <c r="A81">
        <f t="shared" si="17"/>
        <v>30</v>
      </c>
      <c r="C81" s="13"/>
      <c r="D81" s="13"/>
      <c r="E81" s="14"/>
      <c r="F81" s="15"/>
      <c r="G81" s="1">
        <v>76</v>
      </c>
      <c r="H81" s="21">
        <v>48305</v>
      </c>
      <c r="I81" s="16"/>
      <c r="J81" s="16"/>
      <c r="K81" s="25">
        <f t="shared" si="18"/>
        <v>0</v>
      </c>
      <c r="L81" s="16"/>
      <c r="M81" s="16"/>
      <c r="N81" s="16">
        <f t="shared" si="19"/>
        <v>0</v>
      </c>
      <c r="O81" s="16"/>
      <c r="P81" s="25">
        <f t="shared" si="20"/>
        <v>0</v>
      </c>
      <c r="Q81" s="25">
        <f t="shared" si="21"/>
        <v>0</v>
      </c>
      <c r="R81" s="16"/>
      <c r="S81" s="16">
        <f t="shared" si="16"/>
        <v>0</v>
      </c>
      <c r="T81" s="16"/>
      <c r="U81" s="16"/>
      <c r="V81" s="16"/>
      <c r="W81" s="17"/>
      <c r="X81" s="17"/>
    </row>
    <row r="82" spans="1:24" x14ac:dyDescent="0.15">
      <c r="A82">
        <f t="shared" si="17"/>
        <v>31</v>
      </c>
      <c r="C82" s="13"/>
      <c r="D82" s="13"/>
      <c r="E82" s="14"/>
      <c r="F82" s="15"/>
      <c r="G82" s="1">
        <v>77</v>
      </c>
      <c r="H82" s="21">
        <v>48335</v>
      </c>
      <c r="I82" s="16"/>
      <c r="J82" s="16"/>
      <c r="K82" s="25">
        <f t="shared" si="18"/>
        <v>0</v>
      </c>
      <c r="L82" s="16"/>
      <c r="M82" s="16"/>
      <c r="N82" s="16">
        <f t="shared" si="19"/>
        <v>0</v>
      </c>
      <c r="O82" s="16"/>
      <c r="P82" s="25">
        <f t="shared" si="20"/>
        <v>0</v>
      </c>
      <c r="Q82" s="25">
        <f t="shared" si="21"/>
        <v>0</v>
      </c>
      <c r="R82" s="16"/>
      <c r="S82" s="16">
        <f t="shared" si="16"/>
        <v>0</v>
      </c>
      <c r="T82" s="16"/>
      <c r="U82" s="16"/>
      <c r="V82" s="16"/>
      <c r="W82" s="17"/>
      <c r="X82" s="17"/>
    </row>
    <row r="83" spans="1:24" x14ac:dyDescent="0.15">
      <c r="A83">
        <f t="shared" si="17"/>
        <v>30</v>
      </c>
      <c r="C83" s="13"/>
      <c r="D83" s="13"/>
      <c r="E83" s="14"/>
      <c r="F83" s="15"/>
      <c r="G83" s="1">
        <v>78</v>
      </c>
      <c r="H83" s="21">
        <v>48366</v>
      </c>
      <c r="I83" s="16"/>
      <c r="J83" s="16"/>
      <c r="K83" s="25">
        <f t="shared" si="18"/>
        <v>0</v>
      </c>
      <c r="L83" s="16"/>
      <c r="M83" s="16"/>
      <c r="N83" s="16">
        <f t="shared" si="19"/>
        <v>0</v>
      </c>
      <c r="O83" s="16"/>
      <c r="P83" s="25">
        <f t="shared" si="20"/>
        <v>0</v>
      </c>
      <c r="Q83" s="25">
        <f t="shared" si="21"/>
        <v>0</v>
      </c>
      <c r="R83" s="16"/>
      <c r="S83" s="16">
        <f t="shared" si="16"/>
        <v>0</v>
      </c>
      <c r="T83" s="16"/>
      <c r="U83" s="16"/>
      <c r="V83" s="16"/>
      <c r="W83" s="17"/>
      <c r="X83" s="17"/>
    </row>
    <row r="84" spans="1:24" x14ac:dyDescent="0.15">
      <c r="A84">
        <f t="shared" si="17"/>
        <v>31</v>
      </c>
      <c r="C84" s="13"/>
      <c r="D84" s="13"/>
      <c r="E84" s="14"/>
      <c r="F84" s="15"/>
      <c r="G84" s="1">
        <v>79</v>
      </c>
      <c r="H84" s="21">
        <v>48396</v>
      </c>
      <c r="I84" s="16"/>
      <c r="J84" s="16"/>
      <c r="K84" s="25">
        <f t="shared" si="18"/>
        <v>0</v>
      </c>
      <c r="L84" s="16"/>
      <c r="M84" s="16"/>
      <c r="N84" s="16">
        <f t="shared" si="19"/>
        <v>0</v>
      </c>
      <c r="O84" s="16"/>
      <c r="P84" s="25">
        <f t="shared" si="20"/>
        <v>0</v>
      </c>
      <c r="Q84" s="25">
        <f t="shared" si="21"/>
        <v>0</v>
      </c>
      <c r="R84" s="16"/>
      <c r="S84" s="16">
        <f t="shared" si="16"/>
        <v>0</v>
      </c>
      <c r="T84" s="16"/>
      <c r="U84" s="16"/>
      <c r="V84" s="16"/>
      <c r="W84" s="17"/>
      <c r="X84" s="17"/>
    </row>
    <row r="85" spans="1:24" x14ac:dyDescent="0.15">
      <c r="J85" s="1"/>
      <c r="K85" s="1"/>
      <c r="L85" s="1"/>
      <c r="M85" s="1"/>
      <c r="N85" s="1"/>
    </row>
    <row r="86" spans="1:24" x14ac:dyDescent="0.15">
      <c r="J86" s="1"/>
      <c r="K86" s="1"/>
      <c r="L86" s="1"/>
      <c r="M86" s="1"/>
      <c r="N86" s="1"/>
    </row>
    <row r="87" spans="1:24" x14ac:dyDescent="0.15">
      <c r="J87" s="1"/>
      <c r="K87" s="1"/>
      <c r="L87" s="1"/>
      <c r="M87" s="1"/>
      <c r="N87" s="1"/>
    </row>
    <row r="88" spans="1:24" x14ac:dyDescent="0.15">
      <c r="J88" s="1"/>
      <c r="K88" s="1"/>
      <c r="L88" s="1"/>
      <c r="M88" s="1"/>
      <c r="N88" s="1"/>
    </row>
    <row r="89" spans="1:24" x14ac:dyDescent="0.15">
      <c r="J89" s="1"/>
      <c r="K89" s="1"/>
      <c r="L89" s="1"/>
      <c r="M89" s="1"/>
      <c r="N89" s="1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7FCE-81A2-4028-8EF4-7544FC75006E}">
  <dimension ref="A1:H37"/>
  <sheetViews>
    <sheetView zoomScale="120" zoomScaleNormal="120" workbookViewId="0">
      <selection activeCell="K23" sqref="K23"/>
    </sheetView>
  </sheetViews>
  <sheetFormatPr defaultRowHeight="10.5" x14ac:dyDescent="0.15"/>
  <cols>
    <col min="1" max="1" width="12.5" bestFit="1" customWidth="1"/>
    <col min="2" max="2" width="12.1640625" bestFit="1" customWidth="1"/>
    <col min="3" max="3" width="12.33203125" bestFit="1" customWidth="1"/>
    <col min="4" max="4" width="15.33203125" bestFit="1" customWidth="1"/>
    <col min="5" max="5" width="10.83203125" bestFit="1" customWidth="1"/>
    <col min="6" max="6" width="12.1640625" bestFit="1" customWidth="1"/>
    <col min="7" max="7" width="16.5" bestFit="1" customWidth="1"/>
    <col min="8" max="8" width="19.5" bestFit="1" customWidth="1"/>
  </cols>
  <sheetData>
    <row r="1" spans="1:8" x14ac:dyDescent="0.1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15">
      <c r="A2" s="27">
        <v>46023</v>
      </c>
      <c r="B2">
        <v>133.85238095238</v>
      </c>
      <c r="C2">
        <v>1.02020401507189E-2</v>
      </c>
      <c r="D2">
        <v>1.28012706822954</v>
      </c>
      <c r="E2">
        <v>30</v>
      </c>
      <c r="F2">
        <v>15.8745078663875</v>
      </c>
      <c r="G2">
        <v>0.16195236662578899</v>
      </c>
      <c r="H2">
        <v>20.321387214585499</v>
      </c>
    </row>
    <row r="3" spans="1:8" x14ac:dyDescent="0.15">
      <c r="A3" s="27">
        <v>46054</v>
      </c>
      <c r="B3">
        <v>116.85238095238</v>
      </c>
      <c r="C3">
        <v>1.0328535530317901E-2</v>
      </c>
      <c r="D3">
        <v>1.1268204270279101</v>
      </c>
      <c r="E3">
        <v>30</v>
      </c>
      <c r="F3">
        <v>15.8745078663875</v>
      </c>
      <c r="G3">
        <v>0.16396041852429599</v>
      </c>
      <c r="H3">
        <v>17.887719732860798</v>
      </c>
    </row>
    <row r="4" spans="1:8" x14ac:dyDescent="0.15">
      <c r="A4" s="27">
        <v>46082</v>
      </c>
      <c r="B4">
        <v>66.642857142857096</v>
      </c>
      <c r="C4">
        <v>9.0367079342123392E-3</v>
      </c>
      <c r="D4">
        <v>0.570257334846202</v>
      </c>
      <c r="E4">
        <v>30</v>
      </c>
      <c r="F4">
        <v>15.8745078663875</v>
      </c>
      <c r="G4">
        <v>0.14345329118790001</v>
      </c>
      <c r="H4">
        <v>9.0525545478812308</v>
      </c>
    </row>
    <row r="5" spans="1:8" x14ac:dyDescent="0.15">
      <c r="A5" s="27">
        <v>46113</v>
      </c>
      <c r="B5">
        <v>49.65</v>
      </c>
      <c r="C5">
        <v>8.4707345328997909E-3</v>
      </c>
      <c r="D5">
        <v>0.40035520138763098</v>
      </c>
      <c r="E5">
        <v>30</v>
      </c>
      <c r="F5">
        <v>15.8745078663875</v>
      </c>
      <c r="G5">
        <v>0.134468741976598</v>
      </c>
      <c r="H5">
        <v>6.3554417937771097</v>
      </c>
    </row>
    <row r="6" spans="1:8" x14ac:dyDescent="0.15">
      <c r="A6" s="27">
        <v>46143</v>
      </c>
      <c r="B6">
        <v>45.1666666666666</v>
      </c>
      <c r="C6">
        <v>9.4209434084277198E-3</v>
      </c>
      <c r="D6">
        <v>0.40319621357940799</v>
      </c>
      <c r="E6">
        <v>30</v>
      </c>
      <c r="F6">
        <v>15.8745078663875</v>
      </c>
      <c r="G6">
        <v>0.14955284024587701</v>
      </c>
      <c r="H6">
        <v>6.4005414641639904</v>
      </c>
    </row>
    <row r="7" spans="1:8" x14ac:dyDescent="0.15">
      <c r="A7" s="27">
        <v>46174</v>
      </c>
      <c r="B7">
        <v>52.619047619047599</v>
      </c>
      <c r="C7">
        <v>9.0086594158653392E-3</v>
      </c>
      <c r="D7">
        <v>0.43615930746250597</v>
      </c>
      <c r="E7">
        <v>30</v>
      </c>
      <c r="F7">
        <v>15.8745078663875</v>
      </c>
      <c r="G7">
        <v>0.14300803476276</v>
      </c>
      <c r="H7">
        <v>6.9238143573116897</v>
      </c>
    </row>
    <row r="8" spans="1:8" x14ac:dyDescent="0.15">
      <c r="A8" s="27">
        <v>46204</v>
      </c>
      <c r="B8">
        <v>75.059523809523796</v>
      </c>
      <c r="C8">
        <v>6.2430691866653702E-3</v>
      </c>
      <c r="D8">
        <v>0.44985394513091898</v>
      </c>
      <c r="E8">
        <v>30</v>
      </c>
      <c r="F8">
        <v>15.8745078663875</v>
      </c>
      <c r="G8">
        <v>9.9105650914121199E-2</v>
      </c>
      <c r="H8">
        <v>7.1412099907062503</v>
      </c>
    </row>
    <row r="9" spans="1:8" x14ac:dyDescent="0.15">
      <c r="A9" s="27">
        <v>46235</v>
      </c>
      <c r="B9">
        <v>61.790476190476099</v>
      </c>
      <c r="C9">
        <v>7.4960207036419303E-3</v>
      </c>
      <c r="D9">
        <v>0.43573529668998001</v>
      </c>
      <c r="E9">
        <v>30</v>
      </c>
      <c r="F9">
        <v>15.8745078663875</v>
      </c>
      <c r="G9">
        <v>0.11899563962656701</v>
      </c>
      <c r="H9">
        <v>6.9170833949678103</v>
      </c>
    </row>
    <row r="10" spans="1:8" x14ac:dyDescent="0.15">
      <c r="A10" s="27">
        <v>46266</v>
      </c>
      <c r="B10">
        <v>48.5833333333333</v>
      </c>
      <c r="C10">
        <v>7.7139167267069398E-3</v>
      </c>
      <c r="D10">
        <v>0.34956302379985899</v>
      </c>
      <c r="E10">
        <v>30</v>
      </c>
      <c r="F10">
        <v>15.8745078663875</v>
      </c>
      <c r="G10">
        <v>0.122454631758767</v>
      </c>
      <c r="H10">
        <v>5.5491409711090904</v>
      </c>
    </row>
    <row r="11" spans="1:8" x14ac:dyDescent="0.15">
      <c r="A11" s="27">
        <v>46296</v>
      </c>
      <c r="B11">
        <v>47.297619047619001</v>
      </c>
      <c r="C11">
        <v>8.6164689145041204E-3</v>
      </c>
      <c r="D11">
        <v>0.37906861837516898</v>
      </c>
      <c r="E11">
        <v>30</v>
      </c>
      <c r="F11">
        <v>15.8745078663875</v>
      </c>
      <c r="G11">
        <v>0.13678220356377899</v>
      </c>
      <c r="H11">
        <v>6.01752776429728</v>
      </c>
    </row>
    <row r="12" spans="1:8" x14ac:dyDescent="0.15">
      <c r="A12" s="27">
        <v>46327</v>
      </c>
      <c r="B12">
        <v>63.297619047619001</v>
      </c>
      <c r="C12">
        <v>8.0515724635010794E-3</v>
      </c>
      <c r="D12">
        <v>0.48815844571845102</v>
      </c>
      <c r="E12">
        <v>30</v>
      </c>
      <c r="F12">
        <v>15.8745078663875</v>
      </c>
      <c r="G12">
        <v>0.12781475040863699</v>
      </c>
      <c r="H12">
        <v>7.7492750866010596</v>
      </c>
    </row>
    <row r="13" spans="1:8" x14ac:dyDescent="0.15">
      <c r="A13" s="27">
        <v>46357</v>
      </c>
      <c r="B13">
        <v>97.869047619047606</v>
      </c>
      <c r="C13">
        <v>8.5857348358926704E-3</v>
      </c>
      <c r="D13">
        <v>0.80342708874151103</v>
      </c>
      <c r="E13">
        <v>30</v>
      </c>
      <c r="F13">
        <v>15.8745078663875</v>
      </c>
      <c r="G13">
        <v>0.136294315191095</v>
      </c>
      <c r="H13">
        <v>12.7540096402959</v>
      </c>
    </row>
    <row r="14" spans="1:8" x14ac:dyDescent="0.15">
      <c r="A14" s="27">
        <v>46388</v>
      </c>
      <c r="B14">
        <v>133.578571428571</v>
      </c>
      <c r="C14">
        <v>6.8469810888949602E-3</v>
      </c>
      <c r="D14">
        <v>0.87477054470155002</v>
      </c>
      <c r="E14">
        <v>30</v>
      </c>
      <c r="F14">
        <v>15.8745078663875</v>
      </c>
      <c r="G14">
        <v>0.108692455156669</v>
      </c>
      <c r="H14">
        <v>13.8865518931488</v>
      </c>
    </row>
    <row r="15" spans="1:8" x14ac:dyDescent="0.15">
      <c r="A15" s="27">
        <v>46419</v>
      </c>
      <c r="B15">
        <v>109.578571428571</v>
      </c>
      <c r="C15">
        <v>7.6831486076303903E-3</v>
      </c>
      <c r="D15">
        <v>0.82495451892664495</v>
      </c>
      <c r="E15">
        <v>30</v>
      </c>
      <c r="F15">
        <v>15.8745078663875</v>
      </c>
      <c r="G15">
        <v>0.12196620301045299</v>
      </c>
      <c r="H15">
        <v>13.095747000112899</v>
      </c>
    </row>
    <row r="16" spans="1:8" x14ac:dyDescent="0.15">
      <c r="A16" s="27">
        <v>46447</v>
      </c>
      <c r="B16">
        <v>65.309523809523796</v>
      </c>
      <c r="C16">
        <v>6.72570892347326E-3</v>
      </c>
      <c r="D16">
        <v>0.41957522639563199</v>
      </c>
      <c r="E16">
        <v>30</v>
      </c>
      <c r="F16">
        <v>15.8745078663875</v>
      </c>
      <c r="G16">
        <v>0.106767319212709</v>
      </c>
      <c r="H16">
        <v>6.6605502319588004</v>
      </c>
    </row>
    <row r="17" spans="1:8" x14ac:dyDescent="0.15">
      <c r="A17" s="27">
        <v>46478</v>
      </c>
      <c r="B17">
        <v>46.904761904761898</v>
      </c>
      <c r="C17">
        <v>5.8107780605407503E-3</v>
      </c>
      <c r="D17">
        <v>0.25914530027108601</v>
      </c>
      <c r="E17">
        <v>30</v>
      </c>
      <c r="F17">
        <v>15.8745078663875</v>
      </c>
      <c r="G17">
        <v>9.2243242031886302E-2</v>
      </c>
      <c r="H17">
        <v>4.1138041076907204</v>
      </c>
    </row>
    <row r="18" spans="1:8" x14ac:dyDescent="0.15">
      <c r="A18" s="27">
        <v>46508</v>
      </c>
      <c r="B18">
        <v>43.142857142857103</v>
      </c>
      <c r="C18">
        <v>6.4073129573316697E-3</v>
      </c>
      <c r="D18">
        <v>0.26111066608067701</v>
      </c>
      <c r="E18">
        <v>30</v>
      </c>
      <c r="F18">
        <v>15.8745078663875</v>
      </c>
      <c r="G18">
        <v>0.101712939943568</v>
      </c>
      <c r="H18">
        <v>4.1450033226954002</v>
      </c>
    </row>
    <row r="19" spans="1:8" x14ac:dyDescent="0.15">
      <c r="A19" s="27">
        <v>46539</v>
      </c>
      <c r="B19">
        <v>47.107142857142797</v>
      </c>
      <c r="C19">
        <v>5.3796248428611797E-3</v>
      </c>
      <c r="D19">
        <v>0.241692281342369</v>
      </c>
      <c r="E19">
        <v>30</v>
      </c>
      <c r="F19">
        <v>15.8745078663875</v>
      </c>
      <c r="G19">
        <v>8.5398896886213604E-2</v>
      </c>
      <c r="H19">
        <v>3.8367460214145899</v>
      </c>
    </row>
    <row r="20" spans="1:8" x14ac:dyDescent="0.15">
      <c r="A20" s="27">
        <v>46569</v>
      </c>
      <c r="B20">
        <v>68.452380952380906</v>
      </c>
      <c r="C20">
        <v>3.8605628253917199E-3</v>
      </c>
      <c r="D20">
        <v>0.25565310719914802</v>
      </c>
      <c r="E20">
        <v>30</v>
      </c>
      <c r="F20">
        <v>15.8745078663875</v>
      </c>
      <c r="G20">
        <v>6.1284534940364302E-2</v>
      </c>
      <c r="H20">
        <v>4.0583672612993</v>
      </c>
    </row>
    <row r="21" spans="1:8" x14ac:dyDescent="0.15">
      <c r="A21" s="27">
        <v>46600</v>
      </c>
      <c r="B21">
        <v>60.011904761904702</v>
      </c>
      <c r="C21">
        <v>4.7612354762081302E-3</v>
      </c>
      <c r="D21">
        <v>0.275486535204157</v>
      </c>
      <c r="E21">
        <v>30</v>
      </c>
      <c r="F21">
        <v>15.8745078663875</v>
      </c>
      <c r="G21">
        <v>7.5582270020789405E-2</v>
      </c>
      <c r="H21">
        <v>4.3732131701822397</v>
      </c>
    </row>
    <row r="22" spans="1:8" x14ac:dyDescent="0.15">
      <c r="A22" s="27">
        <v>46631</v>
      </c>
      <c r="B22">
        <v>45.1666666666666</v>
      </c>
      <c r="C22">
        <v>4.5768100211943004E-3</v>
      </c>
      <c r="D22">
        <v>0.19893834585640099</v>
      </c>
      <c r="E22">
        <v>30</v>
      </c>
      <c r="F22">
        <v>15.8745078663875</v>
      </c>
      <c r="G22">
        <v>7.2654606684410303E-2</v>
      </c>
      <c r="H22">
        <v>3.1580483362235601</v>
      </c>
    </row>
    <row r="23" spans="1:8" x14ac:dyDescent="0.15">
      <c r="A23" s="27">
        <v>46661</v>
      </c>
      <c r="B23">
        <v>43.940476190476097</v>
      </c>
      <c r="C23">
        <v>4.7126206499125698E-3</v>
      </c>
      <c r="D23">
        <v>0.19845947998029001</v>
      </c>
      <c r="E23">
        <v>30</v>
      </c>
      <c r="F23">
        <v>15.8745078663875</v>
      </c>
      <c r="G23">
        <v>7.4810533578337501E-2</v>
      </c>
      <c r="H23">
        <v>3.1504465761062899</v>
      </c>
    </row>
    <row r="24" spans="1:8" x14ac:dyDescent="0.15">
      <c r="A24" s="27">
        <v>46692</v>
      </c>
      <c r="B24">
        <v>59.126190476190402</v>
      </c>
      <c r="C24">
        <v>6.7105975336165299E-3</v>
      </c>
      <c r="D24">
        <v>0.379005226634335</v>
      </c>
      <c r="E24">
        <v>30</v>
      </c>
      <c r="F24">
        <v>15.8745078663875</v>
      </c>
      <c r="G24">
        <v>0.106527433335556</v>
      </c>
      <c r="H24">
        <v>6.0165214516087397</v>
      </c>
    </row>
    <row r="25" spans="1:8" x14ac:dyDescent="0.15">
      <c r="A25" s="27">
        <v>46722</v>
      </c>
      <c r="B25">
        <v>89.130952380952294</v>
      </c>
      <c r="C25">
        <v>4.6758985749927196E-3</v>
      </c>
      <c r="D25">
        <v>0.40019498499098699</v>
      </c>
      <c r="E25">
        <v>30</v>
      </c>
      <c r="F25">
        <v>15.8745078663875</v>
      </c>
      <c r="G25">
        <v>7.4227588711152301E-2</v>
      </c>
      <c r="H25">
        <v>6.3528984373282702</v>
      </c>
    </row>
    <row r="26" spans="1:8" x14ac:dyDescent="0.15">
      <c r="A26" s="27">
        <v>46753</v>
      </c>
      <c r="B26">
        <v>131.67380952380901</v>
      </c>
      <c r="C26">
        <v>6.1841556017795804E-3</v>
      </c>
      <c r="D26">
        <v>0.78400886801540803</v>
      </c>
      <c r="E26">
        <v>30</v>
      </c>
      <c r="F26">
        <v>15.8745078663875</v>
      </c>
      <c r="G26">
        <v>9.8170426747414496E-2</v>
      </c>
      <c r="H26">
        <v>12.4457549426282</v>
      </c>
    </row>
    <row r="27" spans="1:8" x14ac:dyDescent="0.15">
      <c r="A27" s="27">
        <v>46784</v>
      </c>
      <c r="B27">
        <v>105.911904761904</v>
      </c>
      <c r="C27">
        <v>7.0413768076287896E-3</v>
      </c>
      <c r="D27">
        <v>0.73496733364182798</v>
      </c>
      <c r="E27">
        <v>30</v>
      </c>
      <c r="F27">
        <v>15.8745078663875</v>
      </c>
      <c r="G27">
        <v>0.111778391522902</v>
      </c>
      <c r="H27">
        <v>11.667244719435001</v>
      </c>
    </row>
    <row r="28" spans="1:8" x14ac:dyDescent="0.15">
      <c r="A28" s="27">
        <v>46813</v>
      </c>
      <c r="B28">
        <v>61.642857142857103</v>
      </c>
      <c r="C28">
        <v>6.4894498281969299E-3</v>
      </c>
      <c r="D28">
        <v>0.38100919800713201</v>
      </c>
      <c r="E28">
        <v>30</v>
      </c>
      <c r="F28">
        <v>15.8745078663875</v>
      </c>
      <c r="G28">
        <v>0.103016822346239</v>
      </c>
      <c r="H28">
        <v>6.0483335109302203</v>
      </c>
    </row>
    <row r="29" spans="1:8" x14ac:dyDescent="0.15">
      <c r="A29" s="27">
        <v>46844</v>
      </c>
      <c r="B29">
        <v>43.238095238095198</v>
      </c>
      <c r="C29">
        <v>6.82237524283116E-3</v>
      </c>
      <c r="D29">
        <v>0.28166928886909398</v>
      </c>
      <c r="E29">
        <v>30</v>
      </c>
      <c r="F29">
        <v>15.8745078663875</v>
      </c>
      <c r="G29">
        <v>0.10830184945977001</v>
      </c>
      <c r="H29">
        <v>4.47136134187223</v>
      </c>
    </row>
    <row r="30" spans="1:8" x14ac:dyDescent="0.15">
      <c r="A30" s="27">
        <v>46874</v>
      </c>
      <c r="B30">
        <v>39.476190476190403</v>
      </c>
      <c r="C30">
        <v>7.5590136103241903E-3</v>
      </c>
      <c r="D30">
        <v>0.282765076637292</v>
      </c>
      <c r="E30">
        <v>30</v>
      </c>
      <c r="F30">
        <v>15.8745078663875</v>
      </c>
      <c r="G30">
        <v>0.119995621019221</v>
      </c>
      <c r="H30">
        <v>4.4887564334183701</v>
      </c>
    </row>
    <row r="31" spans="1:8" x14ac:dyDescent="0.15">
      <c r="A31" s="27">
        <v>46905</v>
      </c>
      <c r="B31">
        <v>43.440476190476097</v>
      </c>
      <c r="C31">
        <v>6.3923970001944497E-3</v>
      </c>
      <c r="D31">
        <v>0.26680001943668102</v>
      </c>
      <c r="E31">
        <v>30</v>
      </c>
      <c r="F31">
        <v>15.8745078663875</v>
      </c>
      <c r="G31">
        <v>0.101476156464658</v>
      </c>
      <c r="H31">
        <v>4.2353190072999398</v>
      </c>
    </row>
    <row r="32" spans="1:8" x14ac:dyDescent="0.15">
      <c r="A32" s="27">
        <v>46935</v>
      </c>
      <c r="B32">
        <v>64.785714285714207</v>
      </c>
      <c r="C32">
        <v>4.4432758221279404E-3</v>
      </c>
      <c r="D32">
        <v>0.280070373441761</v>
      </c>
      <c r="E32">
        <v>30</v>
      </c>
      <c r="F32">
        <v>15.8745078663875</v>
      </c>
      <c r="G32">
        <v>7.0534816990899599E-2</v>
      </c>
      <c r="H32">
        <v>4.4459793463433304</v>
      </c>
    </row>
    <row r="33" spans="1:8" x14ac:dyDescent="0.15">
      <c r="A33" s="27">
        <v>46966</v>
      </c>
      <c r="B33">
        <v>56.345238095238003</v>
      </c>
      <c r="C33">
        <v>5.4494241333749504E-3</v>
      </c>
      <c r="D33">
        <v>0.297964889373033</v>
      </c>
      <c r="E33">
        <v>30</v>
      </c>
      <c r="F33">
        <v>15.8745078663875</v>
      </c>
      <c r="G33">
        <v>8.6506926272542806E-2</v>
      </c>
      <c r="H33">
        <v>4.7300459802595096</v>
      </c>
    </row>
    <row r="34" spans="1:8" x14ac:dyDescent="0.15">
      <c r="A34" s="27">
        <v>46997</v>
      </c>
      <c r="B34">
        <v>41.5</v>
      </c>
      <c r="C34">
        <v>5.8622356591648099E-3</v>
      </c>
      <c r="D34">
        <v>0.23538081878346401</v>
      </c>
      <c r="E34">
        <v>30</v>
      </c>
      <c r="F34">
        <v>15.8745078663875</v>
      </c>
      <c r="G34">
        <v>9.3060106086029298E-2</v>
      </c>
      <c r="H34">
        <v>3.7365546593748502</v>
      </c>
    </row>
    <row r="35" spans="1:8" x14ac:dyDescent="0.15">
      <c r="A35" s="27">
        <v>47027</v>
      </c>
      <c r="B35">
        <v>40.273809523809497</v>
      </c>
      <c r="C35">
        <v>6.0442053792938303E-3</v>
      </c>
      <c r="D35">
        <v>0.234502949736209</v>
      </c>
      <c r="E35">
        <v>30</v>
      </c>
      <c r="F35">
        <v>15.8745078663875</v>
      </c>
      <c r="G35">
        <v>9.5948785839661793E-2</v>
      </c>
      <c r="H35">
        <v>3.7226189202785398</v>
      </c>
    </row>
    <row r="36" spans="1:8" x14ac:dyDescent="0.15">
      <c r="A36" s="27">
        <v>47058</v>
      </c>
      <c r="B36">
        <v>55.459523809523802</v>
      </c>
      <c r="C36">
        <v>7.24424616501591E-3</v>
      </c>
      <c r="D36">
        <v>0.38496708594052398</v>
      </c>
      <c r="E36">
        <v>30</v>
      </c>
      <c r="F36">
        <v>15.8745078663875</v>
      </c>
      <c r="G36">
        <v>0.114998842732593</v>
      </c>
      <c r="H36">
        <v>6.1111630340631402</v>
      </c>
    </row>
    <row r="37" spans="1:8" x14ac:dyDescent="0.15">
      <c r="A37" s="27">
        <v>47088</v>
      </c>
      <c r="B37">
        <v>85.702380952380906</v>
      </c>
      <c r="C37">
        <v>4.8726725310740196E-3</v>
      </c>
      <c r="D37">
        <v>0.40326379282756802</v>
      </c>
      <c r="E37">
        <v>30</v>
      </c>
      <c r="F37">
        <v>15.8745078663875</v>
      </c>
      <c r="G37">
        <v>7.7351278424865E-2</v>
      </c>
      <c r="H37">
        <v>6.4016142514705097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pfe peak jan start</vt:lpstr>
      <vt:lpstr>pfe peak march start</vt:lpstr>
      <vt:lpstr>pfe peak march start 2027-12</vt:lpstr>
      <vt:lpstr>pfe (2)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Allen</dc:creator>
  <cp:lastModifiedBy>Franklin Allen</cp:lastModifiedBy>
  <dcterms:created xsi:type="dcterms:W3CDTF">2025-11-17T23:18:57Z</dcterms:created>
  <dcterms:modified xsi:type="dcterms:W3CDTF">2026-01-29T18:19:39Z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2c57fa-0544-492d-b61d-6faf4a3476ab_Enabled">
    <vt:lpwstr>true</vt:lpwstr>
  </property>
  <property fmtid="{D5CDD505-2E9C-101B-9397-08002B2CF9AE}" pid="3" name="MSIP_Label_c12c57fa-0544-492d-b61d-6faf4a3476ab_SetDate">
    <vt:lpwstr>2026-01-28T13:10:08Z</vt:lpwstr>
  </property>
  <property fmtid="{D5CDD505-2E9C-101B-9397-08002B2CF9AE}" pid="4" name="MSIP_Label_c12c57fa-0544-492d-b61d-6faf4a3476ab_Method">
    <vt:lpwstr>Standard</vt:lpwstr>
  </property>
  <property fmtid="{D5CDD505-2E9C-101B-9397-08002B2CF9AE}" pid="5" name="MSIP_Label_c12c57fa-0544-492d-b61d-6faf4a3476ab_Name">
    <vt:lpwstr>Internal</vt:lpwstr>
  </property>
  <property fmtid="{D5CDD505-2E9C-101B-9397-08002B2CF9AE}" pid="6" name="MSIP_Label_c12c57fa-0544-492d-b61d-6faf4a3476ab_SiteId">
    <vt:lpwstr>6a673392-36af-4da3-9584-e4cf3a42fa76</vt:lpwstr>
  </property>
  <property fmtid="{D5CDD505-2E9C-101B-9397-08002B2CF9AE}" pid="7" name="MSIP_Label_c12c57fa-0544-492d-b61d-6faf4a3476ab_ActionId">
    <vt:lpwstr>e69278bb-b1a4-435a-9584-2c905a2a3228</vt:lpwstr>
  </property>
  <property fmtid="{D5CDD505-2E9C-101B-9397-08002B2CF9AE}" pid="8" name="MSIP_Label_c12c57fa-0544-492d-b61d-6faf4a3476ab_ContentBits">
    <vt:lpwstr>0</vt:lpwstr>
  </property>
  <property fmtid="{D5CDD505-2E9C-101B-9397-08002B2CF9AE}" pid="9" name="MSIP_Label_c12c57fa-0544-492d-b61d-6faf4a3476ab_Tag">
    <vt:lpwstr>10, 3, 0, 1</vt:lpwstr>
  </property>
</Properties>
</file>